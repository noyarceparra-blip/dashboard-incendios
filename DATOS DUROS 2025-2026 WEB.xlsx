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285" yWindow="-225" windowWidth="11625" windowHeight="7920" tabRatio="751"/>
  </bookViews>
  <sheets>
    <sheet name="Invest. IF" sheetId="1" r:id="rId1"/>
    <sheet name="Causas" sheetId="3" state="hidden" r:id="rId2"/>
    <sheet name="DATOS4" sheetId="9" state="hidden" r:id="rId3"/>
  </sheets>
  <definedNames>
    <definedName name="_xlnm._FilterDatabase" localSheetId="1" hidden="1">Causas!$A$1:$E$90</definedName>
    <definedName name="_xlnm._FilterDatabase" localSheetId="0" hidden="1">'Invest. IF'!$A$1:$Y$385</definedName>
  </definedNames>
  <calcPr calcId="144525"/>
  <extLst>
    <ext uri="GoogleSheetsCustomDataVersion2">
      <go:sheetsCustomData xmlns:go="http://customooxmlschemas.google.com/" r:id="" roundtripDataChecksum="bMBDx4hS4iyfaoRGNFaKw8L1QQpCgHah3UxbRANRywM="/>
    </ext>
  </extLst>
</workbook>
</file>

<file path=xl/calcChain.xml><?xml version="1.0" encoding="utf-8"?>
<calcChain xmlns="http://schemas.openxmlformats.org/spreadsheetml/2006/main">
  <c r="Q366" i="1" l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55" i="1" l="1"/>
  <c r="Q356" i="1"/>
  <c r="Q357" i="1"/>
  <c r="Q358" i="1"/>
  <c r="Q359" i="1"/>
  <c r="Q360" i="1"/>
  <c r="Q361" i="1"/>
  <c r="Q362" i="1"/>
  <c r="Q363" i="1"/>
  <c r="Q364" i="1"/>
  <c r="Q36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Q312" i="1" l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I93" i="1" l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2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19" i="1"/>
  <c r="F20" i="1"/>
  <c r="F21" i="1"/>
  <c r="F22" i="1"/>
  <c r="F23" i="1"/>
  <c r="F24" i="1"/>
  <c r="F25" i="1"/>
  <c r="F26" i="1"/>
  <c r="F27" i="1"/>
  <c r="F28" i="1"/>
  <c r="F12" i="1"/>
  <c r="F13" i="1"/>
  <c r="F14" i="1"/>
  <c r="F15" i="1"/>
  <c r="F16" i="1"/>
  <c r="F17" i="1"/>
  <c r="F18" i="1"/>
  <c r="F11" i="1"/>
  <c r="F3" i="1"/>
  <c r="F4" i="1"/>
  <c r="F5" i="1"/>
  <c r="F6" i="1"/>
  <c r="F7" i="1"/>
  <c r="F8" i="1"/>
  <c r="F9" i="1"/>
  <c r="F10" i="1"/>
  <c r="F2" i="1"/>
  <c r="Q2" i="1" l="1"/>
  <c r="A375" i="9" l="1"/>
  <c r="B375" i="9"/>
  <c r="A376" i="9"/>
  <c r="B376" i="9"/>
  <c r="A377" i="9"/>
  <c r="B377" i="9"/>
  <c r="A378" i="9"/>
  <c r="B378" i="9"/>
  <c r="A379" i="9"/>
  <c r="B379" i="9"/>
  <c r="A380" i="9"/>
  <c r="B380" i="9"/>
  <c r="A381" i="9"/>
  <c r="B381" i="9"/>
  <c r="A382" i="9"/>
  <c r="B382" i="9"/>
  <c r="A383" i="9"/>
  <c r="B383" i="9"/>
  <c r="A384" i="9"/>
  <c r="B384" i="9"/>
  <c r="A385" i="9"/>
  <c r="B385" i="9"/>
  <c r="A386" i="9"/>
  <c r="B386" i="9"/>
  <c r="C349" i="9"/>
  <c r="D349" i="9"/>
  <c r="E349" i="9"/>
  <c r="F349" i="9"/>
  <c r="K349" i="9"/>
  <c r="M349" i="9"/>
  <c r="N349" i="9"/>
  <c r="O349" i="9"/>
  <c r="C350" i="9"/>
  <c r="D350" i="9"/>
  <c r="E350" i="9"/>
  <c r="F350" i="9"/>
  <c r="K350" i="9"/>
  <c r="M350" i="9"/>
  <c r="N350" i="9"/>
  <c r="O350" i="9"/>
  <c r="C351" i="9"/>
  <c r="D351" i="9"/>
  <c r="E351" i="9"/>
  <c r="F351" i="9"/>
  <c r="K351" i="9"/>
  <c r="M351" i="9"/>
  <c r="N351" i="9"/>
  <c r="O351" i="9"/>
  <c r="C352" i="9"/>
  <c r="D352" i="9"/>
  <c r="E352" i="9"/>
  <c r="F352" i="9"/>
  <c r="K352" i="9"/>
  <c r="M352" i="9"/>
  <c r="N352" i="9"/>
  <c r="O352" i="9"/>
  <c r="C353" i="9"/>
  <c r="D353" i="9"/>
  <c r="E353" i="9"/>
  <c r="F353" i="9"/>
  <c r="K353" i="9"/>
  <c r="M353" i="9"/>
  <c r="N353" i="9"/>
  <c r="O353" i="9"/>
  <c r="C354" i="9"/>
  <c r="D354" i="9"/>
  <c r="E354" i="9"/>
  <c r="F354" i="9"/>
  <c r="K354" i="9"/>
  <c r="M354" i="9"/>
  <c r="N354" i="9"/>
  <c r="O354" i="9"/>
  <c r="C355" i="9"/>
  <c r="D355" i="9"/>
  <c r="E355" i="9"/>
  <c r="F355" i="9"/>
  <c r="K355" i="9"/>
  <c r="M355" i="9"/>
  <c r="N355" i="9"/>
  <c r="O355" i="9"/>
  <c r="C356" i="9"/>
  <c r="D356" i="9"/>
  <c r="E356" i="9"/>
  <c r="F356" i="9"/>
  <c r="K356" i="9"/>
  <c r="M356" i="9"/>
  <c r="N356" i="9"/>
  <c r="O356" i="9"/>
  <c r="C357" i="9"/>
  <c r="D357" i="9"/>
  <c r="E357" i="9"/>
  <c r="F357" i="9"/>
  <c r="K357" i="9"/>
  <c r="M357" i="9"/>
  <c r="N357" i="9"/>
  <c r="O357" i="9"/>
  <c r="C358" i="9"/>
  <c r="D358" i="9"/>
  <c r="E358" i="9"/>
  <c r="F358" i="9"/>
  <c r="K358" i="9"/>
  <c r="M358" i="9"/>
  <c r="N358" i="9"/>
  <c r="O358" i="9"/>
  <c r="C359" i="9"/>
  <c r="D359" i="9"/>
  <c r="E359" i="9"/>
  <c r="F359" i="9"/>
  <c r="K359" i="9"/>
  <c r="M359" i="9"/>
  <c r="N359" i="9"/>
  <c r="O359" i="9"/>
  <c r="C360" i="9"/>
  <c r="D360" i="9"/>
  <c r="E360" i="9"/>
  <c r="F360" i="9"/>
  <c r="K360" i="9"/>
  <c r="M360" i="9"/>
  <c r="N360" i="9"/>
  <c r="O360" i="9"/>
  <c r="C361" i="9"/>
  <c r="D361" i="9"/>
  <c r="E361" i="9"/>
  <c r="F361" i="9"/>
  <c r="K361" i="9"/>
  <c r="M361" i="9"/>
  <c r="N361" i="9"/>
  <c r="O361" i="9"/>
  <c r="C362" i="9"/>
  <c r="D362" i="9"/>
  <c r="E362" i="9"/>
  <c r="F362" i="9"/>
  <c r="K362" i="9"/>
  <c r="M362" i="9"/>
  <c r="N362" i="9"/>
  <c r="O362" i="9"/>
  <c r="C363" i="9"/>
  <c r="D363" i="9"/>
  <c r="E363" i="9"/>
  <c r="F363" i="9"/>
  <c r="K363" i="9"/>
  <c r="M363" i="9"/>
  <c r="N363" i="9"/>
  <c r="O363" i="9"/>
  <c r="C364" i="9"/>
  <c r="D364" i="9"/>
  <c r="E364" i="9"/>
  <c r="F364" i="9"/>
  <c r="K364" i="9"/>
  <c r="M364" i="9"/>
  <c r="N364" i="9"/>
  <c r="O364" i="9"/>
  <c r="C365" i="9"/>
  <c r="D365" i="9"/>
  <c r="E365" i="9"/>
  <c r="F365" i="9"/>
  <c r="K365" i="9"/>
  <c r="M365" i="9"/>
  <c r="N365" i="9"/>
  <c r="O365" i="9"/>
  <c r="C366" i="9"/>
  <c r="D366" i="9"/>
  <c r="E366" i="9"/>
  <c r="F366" i="9"/>
  <c r="K366" i="9"/>
  <c r="M366" i="9"/>
  <c r="N366" i="9"/>
  <c r="O366" i="9"/>
  <c r="C367" i="9"/>
  <c r="D367" i="9"/>
  <c r="E367" i="9"/>
  <c r="F367" i="9"/>
  <c r="K367" i="9"/>
  <c r="M367" i="9"/>
  <c r="N367" i="9"/>
  <c r="O367" i="9"/>
  <c r="C368" i="9"/>
  <c r="D368" i="9"/>
  <c r="E368" i="9"/>
  <c r="F368" i="9"/>
  <c r="K368" i="9"/>
  <c r="M368" i="9"/>
  <c r="N368" i="9"/>
  <c r="O368" i="9"/>
  <c r="C369" i="9"/>
  <c r="D369" i="9"/>
  <c r="E369" i="9"/>
  <c r="F369" i="9"/>
  <c r="K369" i="9"/>
  <c r="M369" i="9"/>
  <c r="N369" i="9"/>
  <c r="O369" i="9"/>
  <c r="C370" i="9"/>
  <c r="D370" i="9"/>
  <c r="E370" i="9"/>
  <c r="F370" i="9"/>
  <c r="K370" i="9"/>
  <c r="M370" i="9"/>
  <c r="N370" i="9"/>
  <c r="O370" i="9"/>
  <c r="C371" i="9"/>
  <c r="D371" i="9"/>
  <c r="E371" i="9"/>
  <c r="F371" i="9"/>
  <c r="K371" i="9"/>
  <c r="M371" i="9"/>
  <c r="N371" i="9"/>
  <c r="O371" i="9"/>
  <c r="C372" i="9"/>
  <c r="D372" i="9"/>
  <c r="E372" i="9"/>
  <c r="F372" i="9"/>
  <c r="K372" i="9"/>
  <c r="M372" i="9"/>
  <c r="N372" i="9"/>
  <c r="O372" i="9"/>
  <c r="C373" i="9"/>
  <c r="D373" i="9"/>
  <c r="E373" i="9"/>
  <c r="F373" i="9"/>
  <c r="K373" i="9"/>
  <c r="M373" i="9"/>
  <c r="N373" i="9"/>
  <c r="O373" i="9"/>
  <c r="C374" i="9"/>
  <c r="D374" i="9"/>
  <c r="E374" i="9"/>
  <c r="F374" i="9"/>
  <c r="K374" i="9"/>
  <c r="M374" i="9"/>
  <c r="N374" i="9"/>
  <c r="O374" i="9"/>
  <c r="C375" i="9"/>
  <c r="D375" i="9"/>
  <c r="E375" i="9"/>
  <c r="F375" i="9"/>
  <c r="K375" i="9"/>
  <c r="M375" i="9"/>
  <c r="N375" i="9"/>
  <c r="O375" i="9"/>
  <c r="C376" i="9"/>
  <c r="D376" i="9"/>
  <c r="E376" i="9"/>
  <c r="F376" i="9"/>
  <c r="K376" i="9"/>
  <c r="M376" i="9"/>
  <c r="N376" i="9"/>
  <c r="O376" i="9"/>
  <c r="C377" i="9"/>
  <c r="D377" i="9"/>
  <c r="E377" i="9"/>
  <c r="F377" i="9"/>
  <c r="K377" i="9"/>
  <c r="M377" i="9"/>
  <c r="N377" i="9"/>
  <c r="O377" i="9"/>
  <c r="C378" i="9"/>
  <c r="D378" i="9"/>
  <c r="E378" i="9"/>
  <c r="F378" i="9"/>
  <c r="K378" i="9"/>
  <c r="M378" i="9"/>
  <c r="N378" i="9"/>
  <c r="O378" i="9"/>
  <c r="C379" i="9"/>
  <c r="D379" i="9"/>
  <c r="E379" i="9"/>
  <c r="F379" i="9"/>
  <c r="K379" i="9"/>
  <c r="M379" i="9"/>
  <c r="N379" i="9"/>
  <c r="O379" i="9"/>
  <c r="C380" i="9"/>
  <c r="D380" i="9"/>
  <c r="E380" i="9"/>
  <c r="F380" i="9"/>
  <c r="K380" i="9"/>
  <c r="M380" i="9"/>
  <c r="N380" i="9"/>
  <c r="O380" i="9"/>
  <c r="C381" i="9"/>
  <c r="D381" i="9"/>
  <c r="E381" i="9"/>
  <c r="F381" i="9"/>
  <c r="K381" i="9"/>
  <c r="M381" i="9"/>
  <c r="N381" i="9"/>
  <c r="O381" i="9"/>
  <c r="C382" i="9"/>
  <c r="D382" i="9"/>
  <c r="E382" i="9"/>
  <c r="F382" i="9"/>
  <c r="K382" i="9"/>
  <c r="M382" i="9"/>
  <c r="N382" i="9"/>
  <c r="O382" i="9"/>
  <c r="C383" i="9"/>
  <c r="D383" i="9"/>
  <c r="E383" i="9"/>
  <c r="F383" i="9"/>
  <c r="K383" i="9"/>
  <c r="M383" i="9"/>
  <c r="N383" i="9"/>
  <c r="O383" i="9"/>
  <c r="C384" i="9"/>
  <c r="D384" i="9"/>
  <c r="E384" i="9"/>
  <c r="F384" i="9"/>
  <c r="K384" i="9"/>
  <c r="M384" i="9"/>
  <c r="N384" i="9"/>
  <c r="O384" i="9"/>
  <c r="C385" i="9"/>
  <c r="D385" i="9"/>
  <c r="E385" i="9"/>
  <c r="F385" i="9"/>
  <c r="K385" i="9"/>
  <c r="M385" i="9"/>
  <c r="N385" i="9"/>
  <c r="O385" i="9"/>
  <c r="C386" i="9"/>
  <c r="D386" i="9"/>
  <c r="E386" i="9"/>
  <c r="F386" i="9"/>
  <c r="K386" i="9"/>
  <c r="M386" i="9"/>
  <c r="N386" i="9"/>
  <c r="O386" i="9"/>
  <c r="L386" i="9"/>
  <c r="L385" i="9"/>
  <c r="L384" i="9"/>
  <c r="L383" i="9" l="1"/>
  <c r="L382" i="9" l="1"/>
  <c r="L381" i="9"/>
  <c r="L380" i="9"/>
  <c r="L379" i="9"/>
  <c r="L378" i="9"/>
  <c r="L377" i="9"/>
  <c r="L376" i="9"/>
  <c r="L375" i="9"/>
  <c r="L374" i="9"/>
  <c r="A373" i="9" l="1"/>
  <c r="B373" i="9"/>
  <c r="A374" i="9"/>
  <c r="B374" i="9"/>
  <c r="A350" i="9"/>
  <c r="B350" i="9"/>
  <c r="A351" i="9"/>
  <c r="B351" i="9"/>
  <c r="A352" i="9"/>
  <c r="B352" i="9"/>
  <c r="A353" i="9"/>
  <c r="B353" i="9"/>
  <c r="A354" i="9"/>
  <c r="B354" i="9"/>
  <c r="A355" i="9"/>
  <c r="B355" i="9"/>
  <c r="A356" i="9"/>
  <c r="B356" i="9"/>
  <c r="A357" i="9"/>
  <c r="B357" i="9"/>
  <c r="A358" i="9"/>
  <c r="B358" i="9"/>
  <c r="A359" i="9"/>
  <c r="B359" i="9"/>
  <c r="A360" i="9"/>
  <c r="B360" i="9"/>
  <c r="A361" i="9"/>
  <c r="B361" i="9"/>
  <c r="A362" i="9"/>
  <c r="B362" i="9"/>
  <c r="A363" i="9"/>
  <c r="B363" i="9"/>
  <c r="A364" i="9"/>
  <c r="B364" i="9"/>
  <c r="A365" i="9"/>
  <c r="B365" i="9"/>
  <c r="A366" i="9"/>
  <c r="B366" i="9"/>
  <c r="A367" i="9"/>
  <c r="B367" i="9"/>
  <c r="A368" i="9"/>
  <c r="B368" i="9"/>
  <c r="A369" i="9"/>
  <c r="B369" i="9"/>
  <c r="A370" i="9"/>
  <c r="B370" i="9"/>
  <c r="A371" i="9"/>
  <c r="B371" i="9"/>
  <c r="A372" i="9"/>
  <c r="B372" i="9"/>
  <c r="L373" i="9" l="1"/>
  <c r="L372" i="9"/>
  <c r="L371" i="9" l="1"/>
  <c r="L370" i="9"/>
  <c r="L369" i="9"/>
  <c r="L368" i="9"/>
  <c r="L367" i="9"/>
  <c r="L366" i="9"/>
  <c r="L365" i="9"/>
  <c r="L364" i="9"/>
  <c r="L363" i="9"/>
  <c r="L362" i="9"/>
  <c r="A349" i="9" l="1"/>
  <c r="B349" i="9"/>
  <c r="L361" i="9"/>
  <c r="L360" i="9"/>
  <c r="L359" i="9"/>
  <c r="L358" i="9" l="1"/>
  <c r="L357" i="9"/>
  <c r="G353" i="9" l="1"/>
  <c r="H353" i="9"/>
  <c r="I353" i="9"/>
  <c r="J353" i="9"/>
  <c r="G354" i="9"/>
  <c r="H354" i="9"/>
  <c r="I354" i="9"/>
  <c r="J354" i="9"/>
  <c r="G355" i="9"/>
  <c r="H355" i="9"/>
  <c r="I355" i="9"/>
  <c r="J355" i="9"/>
  <c r="G356" i="9"/>
  <c r="H356" i="9"/>
  <c r="I356" i="9"/>
  <c r="J356" i="9"/>
  <c r="G357" i="9"/>
  <c r="H357" i="9"/>
  <c r="I357" i="9"/>
  <c r="J357" i="9"/>
  <c r="G358" i="9"/>
  <c r="H358" i="9"/>
  <c r="I358" i="9"/>
  <c r="J358" i="9"/>
  <c r="G359" i="9"/>
  <c r="H359" i="9"/>
  <c r="I359" i="9"/>
  <c r="J359" i="9"/>
  <c r="G360" i="9"/>
  <c r="H360" i="9"/>
  <c r="I360" i="9"/>
  <c r="J360" i="9"/>
  <c r="G361" i="9"/>
  <c r="H361" i="9"/>
  <c r="I361" i="9"/>
  <c r="J361" i="9"/>
  <c r="G362" i="9"/>
  <c r="H362" i="9"/>
  <c r="I362" i="9"/>
  <c r="J362" i="9"/>
  <c r="G363" i="9"/>
  <c r="H363" i="9"/>
  <c r="I363" i="9"/>
  <c r="J363" i="9"/>
  <c r="G364" i="9"/>
  <c r="H364" i="9"/>
  <c r="I364" i="9"/>
  <c r="J364" i="9"/>
  <c r="G365" i="9"/>
  <c r="H365" i="9"/>
  <c r="I365" i="9"/>
  <c r="J365" i="9"/>
  <c r="G366" i="9"/>
  <c r="H366" i="9"/>
  <c r="I366" i="9"/>
  <c r="J366" i="9"/>
  <c r="G367" i="9"/>
  <c r="H367" i="9"/>
  <c r="I367" i="9"/>
  <c r="J367" i="9"/>
  <c r="G368" i="9"/>
  <c r="H368" i="9"/>
  <c r="I368" i="9"/>
  <c r="J368" i="9"/>
  <c r="G369" i="9"/>
  <c r="H369" i="9"/>
  <c r="I369" i="9"/>
  <c r="J369" i="9"/>
  <c r="G370" i="9"/>
  <c r="H370" i="9"/>
  <c r="I370" i="9"/>
  <c r="J370" i="9"/>
  <c r="G371" i="9"/>
  <c r="H371" i="9"/>
  <c r="I371" i="9"/>
  <c r="J371" i="9"/>
  <c r="G372" i="9"/>
  <c r="H372" i="9"/>
  <c r="I372" i="9"/>
  <c r="J372" i="9"/>
  <c r="G373" i="9"/>
  <c r="H373" i="9"/>
  <c r="I373" i="9"/>
  <c r="J373" i="9"/>
  <c r="G374" i="9"/>
  <c r="H374" i="9"/>
  <c r="I374" i="9"/>
  <c r="J374" i="9"/>
  <c r="G375" i="9"/>
  <c r="H375" i="9"/>
  <c r="I375" i="9"/>
  <c r="J375" i="9"/>
  <c r="G376" i="9"/>
  <c r="H376" i="9"/>
  <c r="I376" i="9"/>
  <c r="J376" i="9"/>
  <c r="G377" i="9"/>
  <c r="H377" i="9"/>
  <c r="I377" i="9"/>
  <c r="J377" i="9"/>
  <c r="G378" i="9"/>
  <c r="H378" i="9"/>
  <c r="I378" i="9"/>
  <c r="J378" i="9"/>
  <c r="G379" i="9"/>
  <c r="H379" i="9"/>
  <c r="I379" i="9"/>
  <c r="J379" i="9"/>
  <c r="G380" i="9"/>
  <c r="H380" i="9"/>
  <c r="I380" i="9"/>
  <c r="J380" i="9"/>
  <c r="G381" i="9"/>
  <c r="H381" i="9"/>
  <c r="I381" i="9"/>
  <c r="J381" i="9"/>
  <c r="G382" i="9"/>
  <c r="H382" i="9"/>
  <c r="I382" i="9"/>
  <c r="J382" i="9"/>
  <c r="G383" i="9"/>
  <c r="H383" i="9"/>
  <c r="I383" i="9"/>
  <c r="J383" i="9"/>
  <c r="G384" i="9"/>
  <c r="H384" i="9"/>
  <c r="I384" i="9"/>
  <c r="J384" i="9"/>
  <c r="G385" i="9"/>
  <c r="H385" i="9"/>
  <c r="I385" i="9"/>
  <c r="J385" i="9"/>
  <c r="G386" i="9"/>
  <c r="H386" i="9"/>
  <c r="I386" i="9"/>
  <c r="J386" i="9"/>
  <c r="L356" i="9"/>
  <c r="L355" i="9"/>
  <c r="L354" i="9"/>
  <c r="L353" i="9"/>
  <c r="N331" i="9" l="1"/>
  <c r="O331" i="9"/>
  <c r="N332" i="9"/>
  <c r="O332" i="9"/>
  <c r="N333" i="9"/>
  <c r="O333" i="9"/>
  <c r="N334" i="9"/>
  <c r="O334" i="9"/>
  <c r="N335" i="9"/>
  <c r="O335" i="9"/>
  <c r="N336" i="9"/>
  <c r="O336" i="9"/>
  <c r="N337" i="9"/>
  <c r="O337" i="9"/>
  <c r="N338" i="9"/>
  <c r="O338" i="9"/>
  <c r="N339" i="9"/>
  <c r="O339" i="9"/>
  <c r="N340" i="9"/>
  <c r="O340" i="9"/>
  <c r="N341" i="9"/>
  <c r="O341" i="9"/>
  <c r="N342" i="9"/>
  <c r="O342" i="9"/>
  <c r="N343" i="9"/>
  <c r="O343" i="9"/>
  <c r="N344" i="9"/>
  <c r="O344" i="9"/>
  <c r="N345" i="9"/>
  <c r="O345" i="9"/>
  <c r="N346" i="9"/>
  <c r="O346" i="9"/>
  <c r="N347" i="9"/>
  <c r="O347" i="9"/>
  <c r="N348" i="9"/>
  <c r="O348" i="9"/>
  <c r="H350" i="9"/>
  <c r="I350" i="9"/>
  <c r="J350" i="9"/>
  <c r="H351" i="9"/>
  <c r="I351" i="9"/>
  <c r="J351" i="9"/>
  <c r="H352" i="9"/>
  <c r="I352" i="9"/>
  <c r="J352" i="9"/>
  <c r="G350" i="9"/>
  <c r="G351" i="9"/>
  <c r="G352" i="9"/>
  <c r="L352" i="9"/>
  <c r="L351" i="9"/>
  <c r="L350" i="9"/>
  <c r="L349" i="9"/>
  <c r="N329" i="9" l="1"/>
  <c r="O329" i="9"/>
  <c r="N330" i="9"/>
  <c r="O330" i="9"/>
  <c r="B343" i="9"/>
  <c r="C343" i="9"/>
  <c r="D343" i="9"/>
  <c r="E343" i="9"/>
  <c r="F343" i="9"/>
  <c r="K343" i="9"/>
  <c r="M343" i="9"/>
  <c r="B344" i="9"/>
  <c r="C344" i="9"/>
  <c r="D344" i="9"/>
  <c r="E344" i="9"/>
  <c r="F344" i="9"/>
  <c r="K344" i="9"/>
  <c r="M344" i="9"/>
  <c r="B345" i="9"/>
  <c r="C345" i="9"/>
  <c r="D345" i="9"/>
  <c r="E345" i="9"/>
  <c r="F345" i="9"/>
  <c r="K345" i="9"/>
  <c r="M345" i="9"/>
  <c r="B346" i="9"/>
  <c r="C346" i="9"/>
  <c r="D346" i="9"/>
  <c r="E346" i="9"/>
  <c r="F346" i="9"/>
  <c r="K346" i="9"/>
  <c r="M346" i="9"/>
  <c r="B347" i="9"/>
  <c r="C347" i="9"/>
  <c r="D347" i="9"/>
  <c r="E347" i="9"/>
  <c r="F347" i="9"/>
  <c r="K347" i="9"/>
  <c r="M347" i="9"/>
  <c r="B348" i="9"/>
  <c r="C348" i="9"/>
  <c r="D348" i="9"/>
  <c r="E348" i="9"/>
  <c r="F348" i="9"/>
  <c r="K348" i="9"/>
  <c r="M348" i="9"/>
  <c r="A343" i="9"/>
  <c r="A344" i="9"/>
  <c r="A345" i="9"/>
  <c r="A346" i="9"/>
  <c r="A347" i="9"/>
  <c r="A348" i="9"/>
  <c r="L348" i="9"/>
  <c r="L347" i="9"/>
  <c r="L346" i="9"/>
  <c r="L345" i="9"/>
  <c r="L344" i="9"/>
  <c r="L343" i="9"/>
  <c r="N324" i="9"/>
  <c r="O324" i="9"/>
  <c r="N325" i="9"/>
  <c r="O325" i="9"/>
  <c r="N326" i="9"/>
  <c r="O326" i="9"/>
  <c r="N327" i="9"/>
  <c r="O327" i="9"/>
  <c r="N328" i="9"/>
  <c r="O328" i="9"/>
  <c r="B340" i="9" l="1"/>
  <c r="C340" i="9"/>
  <c r="D340" i="9"/>
  <c r="E340" i="9"/>
  <c r="F340" i="9"/>
  <c r="K340" i="9"/>
  <c r="M340" i="9"/>
  <c r="B341" i="9"/>
  <c r="C341" i="9"/>
  <c r="D341" i="9"/>
  <c r="E341" i="9"/>
  <c r="F341" i="9"/>
  <c r="K341" i="9"/>
  <c r="M341" i="9"/>
  <c r="B342" i="9"/>
  <c r="C342" i="9"/>
  <c r="D342" i="9"/>
  <c r="E342" i="9"/>
  <c r="F342" i="9"/>
  <c r="K342" i="9"/>
  <c r="M342" i="9"/>
  <c r="A340" i="9"/>
  <c r="A341" i="9"/>
  <c r="A342" i="9"/>
  <c r="L342" i="9"/>
  <c r="L341" i="9"/>
  <c r="L340" i="9"/>
  <c r="B336" i="9" l="1"/>
  <c r="C336" i="9"/>
  <c r="D336" i="9"/>
  <c r="E336" i="9"/>
  <c r="F336" i="9"/>
  <c r="K336" i="9"/>
  <c r="M336" i="9"/>
  <c r="B337" i="9"/>
  <c r="C337" i="9"/>
  <c r="D337" i="9"/>
  <c r="E337" i="9"/>
  <c r="F337" i="9"/>
  <c r="K337" i="9"/>
  <c r="M337" i="9"/>
  <c r="B338" i="9"/>
  <c r="C338" i="9"/>
  <c r="D338" i="9"/>
  <c r="E338" i="9"/>
  <c r="F338" i="9"/>
  <c r="K338" i="9"/>
  <c r="M338" i="9"/>
  <c r="B339" i="9"/>
  <c r="C339" i="9"/>
  <c r="D339" i="9"/>
  <c r="E339" i="9"/>
  <c r="F339" i="9"/>
  <c r="K339" i="9"/>
  <c r="M339" i="9"/>
  <c r="A336" i="9"/>
  <c r="A337" i="9"/>
  <c r="A338" i="9"/>
  <c r="A339" i="9"/>
  <c r="N307" i="9"/>
  <c r="O307" i="9"/>
  <c r="N308" i="9"/>
  <c r="O308" i="9"/>
  <c r="N309" i="9"/>
  <c r="O309" i="9"/>
  <c r="N310" i="9"/>
  <c r="O310" i="9"/>
  <c r="N311" i="9"/>
  <c r="O311" i="9"/>
  <c r="N312" i="9"/>
  <c r="O312" i="9"/>
  <c r="N313" i="9"/>
  <c r="O313" i="9"/>
  <c r="N314" i="9"/>
  <c r="O314" i="9"/>
  <c r="N315" i="9"/>
  <c r="O315" i="9"/>
  <c r="N316" i="9"/>
  <c r="O316" i="9"/>
  <c r="N317" i="9"/>
  <c r="O317" i="9"/>
  <c r="N318" i="9"/>
  <c r="O318" i="9"/>
  <c r="N319" i="9"/>
  <c r="O319" i="9"/>
  <c r="N320" i="9"/>
  <c r="O320" i="9"/>
  <c r="N321" i="9"/>
  <c r="O321" i="9"/>
  <c r="N322" i="9"/>
  <c r="O322" i="9"/>
  <c r="N323" i="9"/>
  <c r="O323" i="9"/>
  <c r="L339" i="9"/>
  <c r="G349" i="9"/>
  <c r="H349" i="9"/>
  <c r="I349" i="9"/>
  <c r="J349" i="9"/>
  <c r="G339" i="9"/>
  <c r="H339" i="9"/>
  <c r="I339" i="9"/>
  <c r="J339" i="9"/>
  <c r="G340" i="9"/>
  <c r="H340" i="9"/>
  <c r="I340" i="9"/>
  <c r="J340" i="9"/>
  <c r="G341" i="9"/>
  <c r="H341" i="9"/>
  <c r="I341" i="9"/>
  <c r="J341" i="9"/>
  <c r="G342" i="9"/>
  <c r="H342" i="9"/>
  <c r="I342" i="9"/>
  <c r="J342" i="9"/>
  <c r="G343" i="9"/>
  <c r="H343" i="9"/>
  <c r="I343" i="9"/>
  <c r="J343" i="9"/>
  <c r="G344" i="9"/>
  <c r="H344" i="9"/>
  <c r="I344" i="9"/>
  <c r="J344" i="9"/>
  <c r="G345" i="9"/>
  <c r="H345" i="9"/>
  <c r="I345" i="9"/>
  <c r="J345" i="9"/>
  <c r="G346" i="9"/>
  <c r="H346" i="9"/>
  <c r="I346" i="9"/>
  <c r="J346" i="9"/>
  <c r="G347" i="9"/>
  <c r="H347" i="9"/>
  <c r="I347" i="9"/>
  <c r="J347" i="9"/>
  <c r="G348" i="9"/>
  <c r="H348" i="9"/>
  <c r="I348" i="9"/>
  <c r="J348" i="9"/>
  <c r="J336" i="9"/>
  <c r="J337" i="9"/>
  <c r="J338" i="9"/>
  <c r="I336" i="9"/>
  <c r="I337" i="9"/>
  <c r="I338" i="9"/>
  <c r="H337" i="9"/>
  <c r="H338" i="9"/>
  <c r="G336" i="9"/>
  <c r="G337" i="9"/>
  <c r="G338" i="9"/>
  <c r="L338" i="9"/>
  <c r="L337" i="9"/>
  <c r="L336" i="9"/>
  <c r="N291" i="9" l="1"/>
  <c r="O291" i="9"/>
  <c r="N292" i="9"/>
  <c r="O292" i="9"/>
  <c r="N293" i="9"/>
  <c r="O293" i="9"/>
  <c r="N294" i="9"/>
  <c r="O294" i="9"/>
  <c r="N295" i="9"/>
  <c r="O295" i="9"/>
  <c r="N296" i="9"/>
  <c r="O296" i="9"/>
  <c r="N297" i="9"/>
  <c r="O297" i="9"/>
  <c r="N298" i="9"/>
  <c r="O298" i="9"/>
  <c r="N299" i="9"/>
  <c r="O299" i="9"/>
  <c r="N300" i="9"/>
  <c r="O300" i="9"/>
  <c r="N301" i="9"/>
  <c r="O301" i="9"/>
  <c r="N302" i="9"/>
  <c r="O302" i="9"/>
  <c r="N303" i="9"/>
  <c r="O303" i="9"/>
  <c r="N304" i="9"/>
  <c r="O304" i="9"/>
  <c r="N305" i="9"/>
  <c r="O305" i="9"/>
  <c r="N306" i="9"/>
  <c r="O306" i="9"/>
  <c r="K302" i="9"/>
  <c r="M302" i="9"/>
  <c r="K303" i="9"/>
  <c r="M303" i="9"/>
  <c r="K304" i="9"/>
  <c r="M304" i="9"/>
  <c r="K305" i="9"/>
  <c r="M305" i="9"/>
  <c r="K306" i="9"/>
  <c r="M306" i="9"/>
  <c r="K307" i="9"/>
  <c r="M307" i="9"/>
  <c r="K308" i="9"/>
  <c r="M308" i="9"/>
  <c r="K309" i="9"/>
  <c r="M309" i="9"/>
  <c r="K310" i="9"/>
  <c r="M310" i="9"/>
  <c r="K311" i="9"/>
  <c r="M311" i="9"/>
  <c r="K312" i="9"/>
  <c r="M312" i="9"/>
  <c r="K313" i="9"/>
  <c r="M313" i="9"/>
  <c r="K314" i="9"/>
  <c r="M314" i="9"/>
  <c r="K315" i="9"/>
  <c r="M315" i="9"/>
  <c r="K316" i="9"/>
  <c r="M316" i="9"/>
  <c r="K317" i="9"/>
  <c r="M317" i="9"/>
  <c r="K318" i="9"/>
  <c r="M318" i="9"/>
  <c r="K319" i="9"/>
  <c r="M319" i="9"/>
  <c r="K320" i="9"/>
  <c r="M320" i="9"/>
  <c r="K321" i="9"/>
  <c r="M321" i="9"/>
  <c r="K322" i="9"/>
  <c r="M322" i="9"/>
  <c r="K323" i="9"/>
  <c r="M323" i="9"/>
  <c r="K324" i="9"/>
  <c r="M324" i="9"/>
  <c r="K325" i="9"/>
  <c r="M325" i="9"/>
  <c r="K326" i="9"/>
  <c r="M326" i="9"/>
  <c r="K327" i="9"/>
  <c r="M327" i="9"/>
  <c r="K328" i="9"/>
  <c r="M328" i="9"/>
  <c r="J329" i="9"/>
  <c r="K329" i="9"/>
  <c r="M329" i="9"/>
  <c r="J330" i="9"/>
  <c r="K330" i="9"/>
  <c r="M330" i="9"/>
  <c r="J331" i="9"/>
  <c r="K331" i="9"/>
  <c r="M331" i="9"/>
  <c r="J332" i="9"/>
  <c r="K332" i="9"/>
  <c r="M332" i="9"/>
  <c r="J333" i="9"/>
  <c r="K333" i="9"/>
  <c r="M333" i="9"/>
  <c r="I334" i="9"/>
  <c r="J334" i="9"/>
  <c r="K334" i="9"/>
  <c r="M334" i="9"/>
  <c r="I335" i="9"/>
  <c r="J335" i="9"/>
  <c r="K335" i="9"/>
  <c r="M335" i="9"/>
  <c r="A302" i="9"/>
  <c r="B302" i="9"/>
  <c r="C302" i="9"/>
  <c r="D302" i="9"/>
  <c r="E302" i="9"/>
  <c r="F302" i="9"/>
  <c r="A303" i="9"/>
  <c r="B303" i="9"/>
  <c r="C303" i="9"/>
  <c r="D303" i="9"/>
  <c r="E303" i="9"/>
  <c r="F303" i="9"/>
  <c r="A304" i="9"/>
  <c r="B304" i="9"/>
  <c r="C304" i="9"/>
  <c r="D304" i="9"/>
  <c r="E304" i="9"/>
  <c r="F304" i="9"/>
  <c r="A305" i="9"/>
  <c r="B305" i="9"/>
  <c r="C305" i="9"/>
  <c r="D305" i="9"/>
  <c r="E305" i="9"/>
  <c r="F305" i="9"/>
  <c r="A306" i="9"/>
  <c r="B306" i="9"/>
  <c r="C306" i="9"/>
  <c r="D306" i="9"/>
  <c r="E306" i="9"/>
  <c r="F306" i="9"/>
  <c r="A307" i="9"/>
  <c r="B307" i="9"/>
  <c r="C307" i="9"/>
  <c r="D307" i="9"/>
  <c r="E307" i="9"/>
  <c r="F307" i="9"/>
  <c r="A308" i="9"/>
  <c r="B308" i="9"/>
  <c r="C308" i="9"/>
  <c r="D308" i="9"/>
  <c r="E308" i="9"/>
  <c r="F308" i="9"/>
  <c r="A309" i="9"/>
  <c r="B309" i="9"/>
  <c r="C309" i="9"/>
  <c r="D309" i="9"/>
  <c r="E309" i="9"/>
  <c r="F309" i="9"/>
  <c r="A310" i="9"/>
  <c r="B310" i="9"/>
  <c r="C310" i="9"/>
  <c r="D310" i="9"/>
  <c r="E310" i="9"/>
  <c r="F310" i="9"/>
  <c r="A311" i="9"/>
  <c r="B311" i="9"/>
  <c r="C311" i="9"/>
  <c r="D311" i="9"/>
  <c r="E311" i="9"/>
  <c r="F311" i="9"/>
  <c r="A312" i="9"/>
  <c r="B312" i="9"/>
  <c r="C312" i="9"/>
  <c r="D312" i="9"/>
  <c r="E312" i="9"/>
  <c r="F312" i="9"/>
  <c r="A313" i="9"/>
  <c r="B313" i="9"/>
  <c r="C313" i="9"/>
  <c r="D313" i="9"/>
  <c r="E313" i="9"/>
  <c r="F313" i="9"/>
  <c r="A314" i="9"/>
  <c r="B314" i="9"/>
  <c r="C314" i="9"/>
  <c r="D314" i="9"/>
  <c r="E314" i="9"/>
  <c r="F314" i="9"/>
  <c r="A315" i="9"/>
  <c r="B315" i="9"/>
  <c r="C315" i="9"/>
  <c r="D315" i="9"/>
  <c r="E315" i="9"/>
  <c r="F315" i="9"/>
  <c r="A316" i="9"/>
  <c r="B316" i="9"/>
  <c r="C316" i="9"/>
  <c r="D316" i="9"/>
  <c r="E316" i="9"/>
  <c r="F316" i="9"/>
  <c r="A317" i="9"/>
  <c r="B317" i="9"/>
  <c r="C317" i="9"/>
  <c r="D317" i="9"/>
  <c r="E317" i="9"/>
  <c r="F317" i="9"/>
  <c r="A318" i="9"/>
  <c r="B318" i="9"/>
  <c r="C318" i="9"/>
  <c r="D318" i="9"/>
  <c r="E318" i="9"/>
  <c r="F318" i="9"/>
  <c r="A319" i="9"/>
  <c r="B319" i="9"/>
  <c r="C319" i="9"/>
  <c r="D319" i="9"/>
  <c r="E319" i="9"/>
  <c r="F319" i="9"/>
  <c r="A320" i="9"/>
  <c r="B320" i="9"/>
  <c r="C320" i="9"/>
  <c r="D320" i="9"/>
  <c r="E320" i="9"/>
  <c r="F320" i="9"/>
  <c r="A321" i="9"/>
  <c r="B321" i="9"/>
  <c r="C321" i="9"/>
  <c r="D321" i="9"/>
  <c r="E321" i="9"/>
  <c r="F321" i="9"/>
  <c r="A322" i="9"/>
  <c r="B322" i="9"/>
  <c r="C322" i="9"/>
  <c r="D322" i="9"/>
  <c r="E322" i="9"/>
  <c r="F322" i="9"/>
  <c r="A323" i="9"/>
  <c r="B323" i="9"/>
  <c r="C323" i="9"/>
  <c r="D323" i="9"/>
  <c r="E323" i="9"/>
  <c r="F323" i="9"/>
  <c r="A324" i="9"/>
  <c r="B324" i="9"/>
  <c r="C324" i="9"/>
  <c r="D324" i="9"/>
  <c r="E324" i="9"/>
  <c r="F324" i="9"/>
  <c r="A325" i="9"/>
  <c r="B325" i="9"/>
  <c r="C325" i="9"/>
  <c r="D325" i="9"/>
  <c r="E325" i="9"/>
  <c r="F325" i="9"/>
  <c r="A326" i="9"/>
  <c r="B326" i="9"/>
  <c r="C326" i="9"/>
  <c r="D326" i="9"/>
  <c r="E326" i="9"/>
  <c r="F326" i="9"/>
  <c r="A327" i="9"/>
  <c r="B327" i="9"/>
  <c r="C327" i="9"/>
  <c r="D327" i="9"/>
  <c r="E327" i="9"/>
  <c r="F327" i="9"/>
  <c r="A328" i="9"/>
  <c r="B328" i="9"/>
  <c r="C328" i="9"/>
  <c r="D328" i="9"/>
  <c r="E328" i="9"/>
  <c r="F328" i="9"/>
  <c r="A329" i="9"/>
  <c r="B329" i="9"/>
  <c r="C329" i="9"/>
  <c r="D329" i="9"/>
  <c r="E329" i="9"/>
  <c r="F329" i="9"/>
  <c r="A330" i="9"/>
  <c r="B330" i="9"/>
  <c r="C330" i="9"/>
  <c r="D330" i="9"/>
  <c r="E330" i="9"/>
  <c r="F330" i="9"/>
  <c r="A331" i="9"/>
  <c r="B331" i="9"/>
  <c r="C331" i="9"/>
  <c r="D331" i="9"/>
  <c r="E331" i="9"/>
  <c r="F331" i="9"/>
  <c r="A332" i="9"/>
  <c r="B332" i="9"/>
  <c r="C332" i="9"/>
  <c r="D332" i="9"/>
  <c r="E332" i="9"/>
  <c r="F332" i="9"/>
  <c r="A333" i="9"/>
  <c r="B333" i="9"/>
  <c r="C333" i="9"/>
  <c r="D333" i="9"/>
  <c r="E333" i="9"/>
  <c r="F333" i="9"/>
  <c r="G333" i="9"/>
  <c r="A334" i="9"/>
  <c r="B334" i="9"/>
  <c r="C334" i="9"/>
  <c r="D334" i="9"/>
  <c r="E334" i="9"/>
  <c r="F334" i="9"/>
  <c r="G334" i="9"/>
  <c r="A335" i="9"/>
  <c r="B335" i="9"/>
  <c r="C335" i="9"/>
  <c r="D335" i="9"/>
  <c r="E335" i="9"/>
  <c r="F335" i="9"/>
  <c r="G335" i="9"/>
  <c r="L335" i="9" l="1"/>
  <c r="L334" i="9"/>
  <c r="L333" i="9" l="1"/>
  <c r="L332" i="9"/>
  <c r="L331" i="9"/>
  <c r="L330" i="9"/>
  <c r="L328" i="9" l="1"/>
  <c r="L329" i="9"/>
  <c r="L327" i="9"/>
  <c r="L326" i="9" l="1"/>
  <c r="L325" i="9"/>
  <c r="L324" i="9"/>
  <c r="L323" i="9"/>
  <c r="L322" i="9"/>
  <c r="L321" i="9"/>
  <c r="L320" i="9"/>
  <c r="L319" i="9"/>
  <c r="L318" i="9" l="1"/>
  <c r="L317" i="9"/>
  <c r="L316" i="9" l="1"/>
  <c r="L315" i="9"/>
  <c r="L314" i="9"/>
  <c r="L313" i="9"/>
  <c r="L312" i="9"/>
  <c r="L311" i="9"/>
  <c r="L310" i="9"/>
  <c r="L309" i="9"/>
  <c r="L306" i="9" l="1"/>
  <c r="L307" i="9"/>
  <c r="L308" i="9"/>
  <c r="L305" i="9"/>
  <c r="L304" i="9"/>
  <c r="L303" i="9"/>
  <c r="L302" i="9"/>
  <c r="K283" i="9" l="1"/>
  <c r="M283" i="9"/>
  <c r="N283" i="9"/>
  <c r="O283" i="9"/>
  <c r="K284" i="9"/>
  <c r="M284" i="9"/>
  <c r="N284" i="9"/>
  <c r="O284" i="9"/>
  <c r="K285" i="9"/>
  <c r="M285" i="9"/>
  <c r="N285" i="9"/>
  <c r="O285" i="9"/>
  <c r="K286" i="9"/>
  <c r="M286" i="9"/>
  <c r="N286" i="9"/>
  <c r="O286" i="9"/>
  <c r="K287" i="9"/>
  <c r="M287" i="9"/>
  <c r="N287" i="9"/>
  <c r="O287" i="9"/>
  <c r="K288" i="9"/>
  <c r="M288" i="9"/>
  <c r="N288" i="9"/>
  <c r="O288" i="9"/>
  <c r="K289" i="9"/>
  <c r="M289" i="9"/>
  <c r="N289" i="9"/>
  <c r="O289" i="9"/>
  <c r="K290" i="9"/>
  <c r="M290" i="9"/>
  <c r="N290" i="9"/>
  <c r="O290" i="9"/>
  <c r="K291" i="9"/>
  <c r="M291" i="9"/>
  <c r="K292" i="9"/>
  <c r="M292" i="9"/>
  <c r="K293" i="9"/>
  <c r="M293" i="9"/>
  <c r="K294" i="9"/>
  <c r="M294" i="9"/>
  <c r="K295" i="9"/>
  <c r="M295" i="9"/>
  <c r="K296" i="9"/>
  <c r="M296" i="9"/>
  <c r="K297" i="9"/>
  <c r="M297" i="9"/>
  <c r="K298" i="9"/>
  <c r="M298" i="9"/>
  <c r="K299" i="9"/>
  <c r="M299" i="9"/>
  <c r="K300" i="9"/>
  <c r="M300" i="9"/>
  <c r="K301" i="9"/>
  <c r="M301" i="9"/>
  <c r="B295" i="9"/>
  <c r="C295" i="9"/>
  <c r="D295" i="9"/>
  <c r="E295" i="9"/>
  <c r="F295" i="9"/>
  <c r="B296" i="9"/>
  <c r="C296" i="9"/>
  <c r="D296" i="9"/>
  <c r="E296" i="9"/>
  <c r="F296" i="9"/>
  <c r="B297" i="9"/>
  <c r="C297" i="9"/>
  <c r="D297" i="9"/>
  <c r="E297" i="9"/>
  <c r="F297" i="9"/>
  <c r="B298" i="9"/>
  <c r="C298" i="9"/>
  <c r="D298" i="9"/>
  <c r="E298" i="9"/>
  <c r="F298" i="9"/>
  <c r="B299" i="9"/>
  <c r="C299" i="9"/>
  <c r="D299" i="9"/>
  <c r="E299" i="9"/>
  <c r="F299" i="9"/>
  <c r="B300" i="9"/>
  <c r="C300" i="9"/>
  <c r="D300" i="9"/>
  <c r="E300" i="9"/>
  <c r="F300" i="9"/>
  <c r="B301" i="9"/>
  <c r="C301" i="9"/>
  <c r="D301" i="9"/>
  <c r="E301" i="9"/>
  <c r="F301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L301" i="9" l="1"/>
  <c r="L300" i="9"/>
  <c r="L299" i="9"/>
  <c r="L298" i="9"/>
  <c r="L297" i="9" l="1"/>
  <c r="L296" i="9"/>
  <c r="L295" i="9"/>
  <c r="B290" i="9" l="1"/>
  <c r="C290" i="9"/>
  <c r="D290" i="9"/>
  <c r="E290" i="9"/>
  <c r="F290" i="9"/>
  <c r="B291" i="9"/>
  <c r="C291" i="9"/>
  <c r="D291" i="9"/>
  <c r="E291" i="9"/>
  <c r="F291" i="9"/>
  <c r="B292" i="9"/>
  <c r="C292" i="9"/>
  <c r="D292" i="9"/>
  <c r="E292" i="9"/>
  <c r="F292" i="9"/>
  <c r="B293" i="9"/>
  <c r="C293" i="9"/>
  <c r="D293" i="9"/>
  <c r="E293" i="9"/>
  <c r="F293" i="9"/>
  <c r="B294" i="9"/>
  <c r="C294" i="9"/>
  <c r="D294" i="9"/>
  <c r="E294" i="9"/>
  <c r="F294" i="9"/>
  <c r="A286" i="9"/>
  <c r="A287" i="9"/>
  <c r="A288" i="9"/>
  <c r="A289" i="9"/>
  <c r="N251" i="9"/>
  <c r="O251" i="9"/>
  <c r="N252" i="9"/>
  <c r="O252" i="9"/>
  <c r="N253" i="9"/>
  <c r="O253" i="9"/>
  <c r="N254" i="9"/>
  <c r="O254" i="9"/>
  <c r="N255" i="9"/>
  <c r="O255" i="9"/>
  <c r="N256" i="9"/>
  <c r="O256" i="9"/>
  <c r="N257" i="9"/>
  <c r="O257" i="9"/>
  <c r="N258" i="9"/>
  <c r="O258" i="9"/>
  <c r="N259" i="9"/>
  <c r="O259" i="9"/>
  <c r="N260" i="9"/>
  <c r="O260" i="9"/>
  <c r="N261" i="9"/>
  <c r="O261" i="9"/>
  <c r="N262" i="9"/>
  <c r="O262" i="9"/>
  <c r="N263" i="9"/>
  <c r="O263" i="9"/>
  <c r="N264" i="9"/>
  <c r="O264" i="9"/>
  <c r="N265" i="9"/>
  <c r="O265" i="9"/>
  <c r="N266" i="9"/>
  <c r="O266" i="9"/>
  <c r="N267" i="9"/>
  <c r="O267" i="9"/>
  <c r="N268" i="9"/>
  <c r="O268" i="9"/>
  <c r="N269" i="9"/>
  <c r="O269" i="9"/>
  <c r="N270" i="9"/>
  <c r="O270" i="9"/>
  <c r="N271" i="9"/>
  <c r="O271" i="9"/>
  <c r="N272" i="9"/>
  <c r="O272" i="9"/>
  <c r="N273" i="9"/>
  <c r="O273" i="9"/>
  <c r="N274" i="9"/>
  <c r="O274" i="9"/>
  <c r="N275" i="9"/>
  <c r="O275" i="9"/>
  <c r="N276" i="9"/>
  <c r="O276" i="9"/>
  <c r="N277" i="9"/>
  <c r="O277" i="9"/>
  <c r="N278" i="9"/>
  <c r="O278" i="9"/>
  <c r="N279" i="9"/>
  <c r="O279" i="9"/>
  <c r="N280" i="9"/>
  <c r="O280" i="9"/>
  <c r="N281" i="9"/>
  <c r="O281" i="9"/>
  <c r="N282" i="9"/>
  <c r="O282" i="9"/>
  <c r="L294" i="9"/>
  <c r="L293" i="9"/>
  <c r="L292" i="9"/>
  <c r="L291" i="9"/>
  <c r="L290" i="9"/>
  <c r="N243" i="9" l="1"/>
  <c r="O243" i="9"/>
  <c r="N244" i="9"/>
  <c r="O244" i="9"/>
  <c r="N245" i="9"/>
  <c r="O245" i="9"/>
  <c r="N246" i="9"/>
  <c r="O246" i="9"/>
  <c r="N247" i="9"/>
  <c r="O247" i="9"/>
  <c r="N248" i="9"/>
  <c r="O248" i="9"/>
  <c r="N249" i="9"/>
  <c r="O249" i="9"/>
  <c r="N250" i="9"/>
  <c r="O250" i="9"/>
  <c r="B286" i="9"/>
  <c r="C286" i="9"/>
  <c r="D286" i="9"/>
  <c r="E286" i="9"/>
  <c r="F286" i="9"/>
  <c r="B287" i="9"/>
  <c r="C287" i="9"/>
  <c r="D287" i="9"/>
  <c r="E287" i="9"/>
  <c r="F287" i="9"/>
  <c r="B288" i="9"/>
  <c r="C288" i="9"/>
  <c r="D288" i="9"/>
  <c r="E288" i="9"/>
  <c r="F288" i="9"/>
  <c r="B289" i="9"/>
  <c r="C289" i="9"/>
  <c r="D289" i="9"/>
  <c r="E289" i="9"/>
  <c r="F289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L289" i="9"/>
  <c r="L288" i="9"/>
  <c r="L287" i="9"/>
  <c r="L286" i="9"/>
  <c r="L285" i="9"/>
  <c r="L284" i="9"/>
  <c r="L283" i="9"/>
  <c r="L282" i="9" l="1"/>
  <c r="L281" i="9"/>
  <c r="L280" i="9"/>
  <c r="L279" i="9"/>
  <c r="L278" i="9" l="1"/>
  <c r="L277" i="9"/>
  <c r="L276" i="9"/>
  <c r="L275" i="9"/>
  <c r="L274" i="9" l="1"/>
  <c r="L273" i="9"/>
  <c r="L272" i="9"/>
  <c r="L271" i="9"/>
  <c r="L270" i="9"/>
  <c r="L269" i="9"/>
  <c r="L268" i="9"/>
  <c r="L267" i="9"/>
  <c r="L266" i="9"/>
  <c r="L265" i="9"/>
  <c r="L264" i="9" l="1"/>
  <c r="L263" i="9"/>
  <c r="L262" i="9"/>
  <c r="L261" i="9"/>
  <c r="L260" i="9"/>
  <c r="L259" i="9"/>
  <c r="L258" i="9"/>
  <c r="L257" i="9"/>
  <c r="K245" i="9" l="1"/>
  <c r="M245" i="9"/>
  <c r="K246" i="9"/>
  <c r="M246" i="9"/>
  <c r="K247" i="9"/>
  <c r="M247" i="9"/>
  <c r="K248" i="9"/>
  <c r="M248" i="9"/>
  <c r="K249" i="9"/>
  <c r="M249" i="9"/>
  <c r="K250" i="9"/>
  <c r="M250" i="9"/>
  <c r="K251" i="9"/>
  <c r="M251" i="9"/>
  <c r="K252" i="9"/>
  <c r="M252" i="9"/>
  <c r="K253" i="9"/>
  <c r="M253" i="9"/>
  <c r="K254" i="9"/>
  <c r="M254" i="9"/>
  <c r="K255" i="9"/>
  <c r="M255" i="9"/>
  <c r="K256" i="9"/>
  <c r="M256" i="9"/>
  <c r="F252" i="9"/>
  <c r="F253" i="9"/>
  <c r="F254" i="9"/>
  <c r="F255" i="9"/>
  <c r="F256" i="9"/>
  <c r="E252" i="9"/>
  <c r="E253" i="9"/>
  <c r="E254" i="9"/>
  <c r="E255" i="9"/>
  <c r="E256" i="9"/>
  <c r="D252" i="9"/>
  <c r="D253" i="9"/>
  <c r="D254" i="9"/>
  <c r="D255" i="9"/>
  <c r="D256" i="9"/>
  <c r="C252" i="9"/>
  <c r="C253" i="9"/>
  <c r="C254" i="9"/>
  <c r="C255" i="9"/>
  <c r="C256" i="9"/>
  <c r="B252" i="9"/>
  <c r="B253" i="9"/>
  <c r="B254" i="9"/>
  <c r="B255" i="9"/>
  <c r="B256" i="9"/>
  <c r="A256" i="9"/>
  <c r="A252" i="9"/>
  <c r="A253" i="9"/>
  <c r="A254" i="9"/>
  <c r="A255" i="9"/>
  <c r="L256" i="9"/>
  <c r="L255" i="9"/>
  <c r="L254" i="9"/>
  <c r="L253" i="9" l="1"/>
  <c r="L252" i="9"/>
  <c r="O228" i="9" l="1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O217" i="9"/>
  <c r="O218" i="9"/>
  <c r="O219" i="9"/>
  <c r="O220" i="9"/>
  <c r="O221" i="9"/>
  <c r="O222" i="9"/>
  <c r="O223" i="9"/>
  <c r="O224" i="9"/>
  <c r="O225" i="9"/>
  <c r="O226" i="9"/>
  <c r="O227" i="9"/>
  <c r="N217" i="9"/>
  <c r="N218" i="9"/>
  <c r="N219" i="9"/>
  <c r="N220" i="9"/>
  <c r="N221" i="9"/>
  <c r="N222" i="9"/>
  <c r="N223" i="9"/>
  <c r="N224" i="9"/>
  <c r="N225" i="9"/>
  <c r="N226" i="9"/>
  <c r="N227" i="9"/>
  <c r="F245" i="9"/>
  <c r="F246" i="9"/>
  <c r="F247" i="9"/>
  <c r="F248" i="9"/>
  <c r="F249" i="9"/>
  <c r="F250" i="9"/>
  <c r="F251" i="9"/>
  <c r="E245" i="9"/>
  <c r="E246" i="9"/>
  <c r="E247" i="9"/>
  <c r="E248" i="9"/>
  <c r="E249" i="9"/>
  <c r="E250" i="9"/>
  <c r="E251" i="9"/>
  <c r="D245" i="9"/>
  <c r="D246" i="9"/>
  <c r="D247" i="9"/>
  <c r="D248" i="9"/>
  <c r="D249" i="9"/>
  <c r="D250" i="9"/>
  <c r="D251" i="9"/>
  <c r="C245" i="9"/>
  <c r="C246" i="9"/>
  <c r="C247" i="9"/>
  <c r="C248" i="9"/>
  <c r="C249" i="9"/>
  <c r="C250" i="9"/>
  <c r="C251" i="9"/>
  <c r="B245" i="9"/>
  <c r="B246" i="9"/>
  <c r="B247" i="9"/>
  <c r="B248" i="9"/>
  <c r="B249" i="9"/>
  <c r="B250" i="9"/>
  <c r="B251" i="9"/>
  <c r="A245" i="9"/>
  <c r="A246" i="9"/>
  <c r="A247" i="9"/>
  <c r="A248" i="9"/>
  <c r="A249" i="9"/>
  <c r="A250" i="9"/>
  <c r="A251" i="9"/>
  <c r="L251" i="9"/>
  <c r="L250" i="9"/>
  <c r="L249" i="9" l="1"/>
  <c r="L248" i="9"/>
  <c r="L247" i="9"/>
  <c r="L246" i="9"/>
  <c r="L245" i="9"/>
  <c r="F226" i="9" l="1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E235" i="9"/>
  <c r="E236" i="9"/>
  <c r="E237" i="9"/>
  <c r="E238" i="9"/>
  <c r="E239" i="9"/>
  <c r="E240" i="9"/>
  <c r="E241" i="9"/>
  <c r="E242" i="9"/>
  <c r="E243" i="9"/>
  <c r="E244" i="9"/>
  <c r="D235" i="9"/>
  <c r="D236" i="9"/>
  <c r="D237" i="9"/>
  <c r="D238" i="9"/>
  <c r="D239" i="9"/>
  <c r="D240" i="9"/>
  <c r="D241" i="9"/>
  <c r="D242" i="9"/>
  <c r="D243" i="9"/>
  <c r="D244" i="9"/>
  <c r="C235" i="9"/>
  <c r="C236" i="9"/>
  <c r="C237" i="9"/>
  <c r="C238" i="9"/>
  <c r="C239" i="9"/>
  <c r="C240" i="9"/>
  <c r="C241" i="9"/>
  <c r="C242" i="9"/>
  <c r="C243" i="9"/>
  <c r="C244" i="9"/>
  <c r="B235" i="9"/>
  <c r="B236" i="9"/>
  <c r="B237" i="9"/>
  <c r="B238" i="9"/>
  <c r="B239" i="9"/>
  <c r="B240" i="9"/>
  <c r="B241" i="9"/>
  <c r="B242" i="9"/>
  <c r="B243" i="9"/>
  <c r="B244" i="9"/>
  <c r="A237" i="9"/>
  <c r="A238" i="9"/>
  <c r="A239" i="9"/>
  <c r="A240" i="9"/>
  <c r="A241" i="9"/>
  <c r="A242" i="9"/>
  <c r="A243" i="9"/>
  <c r="A244" i="9"/>
  <c r="L244" i="9" l="1"/>
  <c r="L243" i="9"/>
  <c r="L242" i="9"/>
  <c r="L241" i="9"/>
  <c r="L240" i="9"/>
  <c r="L239" i="9"/>
  <c r="L238" i="9"/>
  <c r="L237" i="9"/>
  <c r="L236" i="9" l="1"/>
  <c r="L235" i="9"/>
  <c r="E226" i="9" l="1"/>
  <c r="E227" i="9"/>
  <c r="E228" i="9"/>
  <c r="E229" i="9"/>
  <c r="E230" i="9"/>
  <c r="E231" i="9"/>
  <c r="E232" i="9"/>
  <c r="E233" i="9"/>
  <c r="E234" i="9"/>
  <c r="D230" i="9"/>
  <c r="D231" i="9"/>
  <c r="D232" i="9"/>
  <c r="D233" i="9"/>
  <c r="D234" i="9"/>
  <c r="C230" i="9"/>
  <c r="C231" i="9"/>
  <c r="C232" i="9"/>
  <c r="C233" i="9"/>
  <c r="C234" i="9"/>
  <c r="B230" i="9"/>
  <c r="B231" i="9"/>
  <c r="B232" i="9"/>
  <c r="B233" i="9"/>
  <c r="B234" i="9"/>
  <c r="A230" i="9"/>
  <c r="A231" i="9"/>
  <c r="A232" i="9"/>
  <c r="A233" i="9"/>
  <c r="A234" i="9"/>
  <c r="A235" i="9"/>
  <c r="A236" i="9"/>
  <c r="L234" i="9" l="1"/>
  <c r="L233" i="9"/>
  <c r="L232" i="9"/>
  <c r="L231" i="9"/>
  <c r="L230" i="9"/>
  <c r="D226" i="9" l="1"/>
  <c r="D227" i="9"/>
  <c r="D228" i="9"/>
  <c r="D229" i="9"/>
  <c r="C226" i="9"/>
  <c r="C227" i="9"/>
  <c r="C228" i="9"/>
  <c r="C229" i="9"/>
  <c r="B226" i="9"/>
  <c r="B227" i="9"/>
  <c r="B228" i="9"/>
  <c r="B229" i="9"/>
  <c r="A226" i="9"/>
  <c r="A227" i="9"/>
  <c r="A228" i="9"/>
  <c r="A229" i="9"/>
  <c r="L229" i="9" l="1"/>
  <c r="L228" i="9"/>
  <c r="L227" i="9"/>
  <c r="L226" i="9" l="1"/>
  <c r="O201" i="9" l="1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K222" i="9"/>
  <c r="K223" i="9"/>
  <c r="K224" i="9"/>
  <c r="K225" i="9"/>
  <c r="F222" i="9"/>
  <c r="F223" i="9"/>
  <c r="F224" i="9"/>
  <c r="F225" i="9"/>
  <c r="E222" i="9"/>
  <c r="E223" i="9"/>
  <c r="E224" i="9"/>
  <c r="E225" i="9"/>
  <c r="D222" i="9"/>
  <c r="D223" i="9"/>
  <c r="D224" i="9"/>
  <c r="D225" i="9"/>
  <c r="C222" i="9"/>
  <c r="C223" i="9"/>
  <c r="C224" i="9"/>
  <c r="C225" i="9"/>
  <c r="B222" i="9"/>
  <c r="B223" i="9"/>
  <c r="B224" i="9"/>
  <c r="B225" i="9"/>
  <c r="A222" i="9"/>
  <c r="A223" i="9"/>
  <c r="A224" i="9"/>
  <c r="A225" i="9"/>
  <c r="L225" i="9"/>
  <c r="L224" i="9"/>
  <c r="L223" i="9"/>
  <c r="L222" i="9"/>
  <c r="K201" i="9" l="1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C215" i="9"/>
  <c r="C216" i="9"/>
  <c r="C217" i="9"/>
  <c r="C218" i="9"/>
  <c r="C219" i="9"/>
  <c r="C220" i="9"/>
  <c r="C221" i="9"/>
  <c r="B215" i="9"/>
  <c r="B216" i="9"/>
  <c r="B217" i="9"/>
  <c r="B218" i="9"/>
  <c r="B219" i="9"/>
  <c r="B220" i="9"/>
  <c r="B221" i="9"/>
  <c r="L221" i="9" l="1"/>
  <c r="L220" i="9"/>
  <c r="L219" i="9"/>
  <c r="L218" i="9"/>
  <c r="L217" i="9"/>
  <c r="L216" i="9" l="1"/>
  <c r="L215" i="9"/>
  <c r="C202" i="9" l="1"/>
  <c r="C203" i="9"/>
  <c r="C204" i="9"/>
  <c r="C205" i="9"/>
  <c r="C206" i="9"/>
  <c r="C207" i="9"/>
  <c r="C208" i="9"/>
  <c r="C209" i="9"/>
  <c r="C210" i="9"/>
  <c r="C211" i="9"/>
  <c r="C212" i="9"/>
  <c r="C213" i="9"/>
  <c r="C214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L214" i="9"/>
  <c r="L213" i="9"/>
  <c r="L212" i="9"/>
  <c r="L211" i="9"/>
  <c r="L210" i="9"/>
  <c r="L209" i="9"/>
  <c r="L208" i="9"/>
  <c r="L207" i="9"/>
  <c r="L206" i="9" l="1"/>
  <c r="L205" i="9"/>
  <c r="L204" i="9"/>
  <c r="L203" i="9" l="1"/>
  <c r="C201" i="9" l="1"/>
  <c r="B201" i="9"/>
  <c r="A201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L202" i="9"/>
  <c r="L201" i="9" l="1"/>
  <c r="O176" i="9" l="1"/>
  <c r="O175" i="9"/>
  <c r="O174" i="9"/>
  <c r="O173" i="9"/>
  <c r="O172" i="9"/>
  <c r="O171" i="9"/>
  <c r="O170" i="9"/>
  <c r="O169" i="9"/>
  <c r="O168" i="9"/>
  <c r="O167" i="9"/>
  <c r="O166" i="9"/>
  <c r="O165" i="9"/>
  <c r="O164" i="9"/>
  <c r="O163" i="9"/>
  <c r="O162" i="9"/>
  <c r="O161" i="9"/>
  <c r="O160" i="9"/>
  <c r="O159" i="9"/>
  <c r="O158" i="9"/>
  <c r="O157" i="9"/>
  <c r="O156" i="9"/>
  <c r="O155" i="9"/>
  <c r="O154" i="9"/>
  <c r="O153" i="9"/>
  <c r="O152" i="9"/>
  <c r="O151" i="9"/>
  <c r="O150" i="9"/>
  <c r="O149" i="9"/>
  <c r="O148" i="9"/>
  <c r="O147" i="9"/>
  <c r="O146" i="9"/>
  <c r="O145" i="9"/>
  <c r="O144" i="9"/>
  <c r="O143" i="9"/>
  <c r="O142" i="9"/>
  <c r="O141" i="9"/>
  <c r="O140" i="9"/>
  <c r="O139" i="9"/>
  <c r="O138" i="9"/>
  <c r="O137" i="9"/>
  <c r="O136" i="9"/>
  <c r="O135" i="9"/>
  <c r="O134" i="9"/>
  <c r="O133" i="9"/>
  <c r="O132" i="9"/>
  <c r="O131" i="9"/>
  <c r="O130" i="9"/>
  <c r="O129" i="9"/>
  <c r="O128" i="9"/>
  <c r="O127" i="9"/>
  <c r="O126" i="9"/>
  <c r="O125" i="9"/>
  <c r="O124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M173" i="9" l="1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L200" i="9"/>
  <c r="L199" i="9"/>
  <c r="L198" i="9"/>
  <c r="L197" i="9"/>
  <c r="L196" i="9"/>
  <c r="L195" i="9" l="1"/>
  <c r="L194" i="9"/>
  <c r="L193" i="9"/>
  <c r="L192" i="9"/>
  <c r="L191" i="9"/>
  <c r="L190" i="9" l="1"/>
  <c r="L189" i="9"/>
  <c r="L188" i="9" l="1"/>
  <c r="L187" i="9"/>
  <c r="L186" i="9" l="1"/>
  <c r="L185" i="9"/>
  <c r="L184" i="9"/>
  <c r="L183" i="9"/>
  <c r="L182" i="9"/>
  <c r="L181" i="9"/>
  <c r="L180" i="9"/>
  <c r="L179" i="9"/>
  <c r="L178" i="9"/>
  <c r="E173" i="9" l="1"/>
  <c r="E174" i="9"/>
  <c r="E175" i="9"/>
  <c r="E176" i="9"/>
  <c r="E177" i="9"/>
  <c r="D173" i="9"/>
  <c r="D174" i="9"/>
  <c r="D175" i="9"/>
  <c r="D176" i="9"/>
  <c r="D177" i="9"/>
  <c r="C173" i="9"/>
  <c r="C174" i="9"/>
  <c r="C175" i="9"/>
  <c r="C176" i="9"/>
  <c r="C177" i="9"/>
  <c r="B173" i="9"/>
  <c r="B174" i="9"/>
  <c r="B175" i="9"/>
  <c r="B176" i="9"/>
  <c r="B177" i="9"/>
  <c r="A173" i="9"/>
  <c r="A174" i="9"/>
  <c r="A175" i="9"/>
  <c r="A176" i="9"/>
  <c r="A177" i="9"/>
  <c r="L177" i="9" l="1"/>
  <c r="L176" i="9" l="1"/>
  <c r="L175" i="9"/>
  <c r="L174" i="9" l="1"/>
  <c r="M151" i="9" l="1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L173" i="9" l="1"/>
  <c r="L172" i="9"/>
  <c r="L171" i="9"/>
  <c r="L170" i="9" l="1"/>
  <c r="L169" i="9"/>
  <c r="L168" i="9"/>
  <c r="L167" i="9"/>
  <c r="L166" i="9"/>
  <c r="L165" i="9"/>
  <c r="L164" i="9" l="1"/>
  <c r="L163" i="9"/>
  <c r="L162" i="9"/>
  <c r="L161" i="9"/>
  <c r="L160" i="9"/>
  <c r="L159" i="9" l="1"/>
  <c r="L158" i="9"/>
  <c r="L157" i="9"/>
  <c r="L156" i="9" l="1"/>
  <c r="L155" i="9"/>
  <c r="L154" i="9" l="1"/>
  <c r="L153" i="9"/>
  <c r="L152" i="9"/>
  <c r="L151" i="9"/>
  <c r="M135" i="9" l="1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A148" i="9"/>
  <c r="A149" i="9"/>
  <c r="A150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L150" i="9"/>
  <c r="L149" i="9"/>
  <c r="L148" i="9" l="1"/>
  <c r="L147" i="9"/>
  <c r="L146" i="9"/>
  <c r="L145" i="9" l="1"/>
  <c r="L144" i="9"/>
  <c r="L143" i="9"/>
  <c r="L142" i="9"/>
  <c r="L141" i="9"/>
  <c r="L140" i="9"/>
  <c r="L139" i="9"/>
  <c r="L138" i="9"/>
  <c r="L137" i="9" l="1"/>
  <c r="L136" i="9"/>
  <c r="L135" i="9"/>
  <c r="K115" i="9" l="1"/>
  <c r="M115" i="9"/>
  <c r="K116" i="9"/>
  <c r="M116" i="9"/>
  <c r="K117" i="9"/>
  <c r="M117" i="9"/>
  <c r="K118" i="9"/>
  <c r="M118" i="9"/>
  <c r="K119" i="9"/>
  <c r="M119" i="9"/>
  <c r="K120" i="9"/>
  <c r="M120" i="9"/>
  <c r="K121" i="9"/>
  <c r="M121" i="9"/>
  <c r="K122" i="9"/>
  <c r="M122" i="9"/>
  <c r="K123" i="9"/>
  <c r="M123" i="9"/>
  <c r="K124" i="9"/>
  <c r="M124" i="9"/>
  <c r="K125" i="9"/>
  <c r="M125" i="9"/>
  <c r="K126" i="9"/>
  <c r="M126" i="9"/>
  <c r="K127" i="9"/>
  <c r="M127" i="9"/>
  <c r="K128" i="9"/>
  <c r="M128" i="9"/>
  <c r="K129" i="9"/>
  <c r="M129" i="9"/>
  <c r="K130" i="9"/>
  <c r="M130" i="9"/>
  <c r="K131" i="9"/>
  <c r="M131" i="9"/>
  <c r="K132" i="9"/>
  <c r="M132" i="9"/>
  <c r="K133" i="9"/>
  <c r="M133" i="9"/>
  <c r="K134" i="9"/>
  <c r="M13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D115" i="9" l="1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L134" i="9"/>
  <c r="L133" i="9" l="1"/>
  <c r="L132" i="9"/>
  <c r="L131" i="9"/>
  <c r="L130" i="9"/>
  <c r="L129" i="9"/>
  <c r="L128" i="9" l="1"/>
  <c r="L127" i="9"/>
  <c r="L126" i="9"/>
  <c r="L125" i="9" l="1"/>
  <c r="L124" i="9"/>
  <c r="L123" i="9"/>
  <c r="L122" i="9"/>
  <c r="L121" i="9"/>
  <c r="L120" i="9" l="1"/>
  <c r="L119" i="9"/>
  <c r="L118" i="9"/>
  <c r="L117" i="9"/>
  <c r="L116" i="9"/>
  <c r="L115" i="9" l="1"/>
  <c r="M104" i="9"/>
  <c r="M105" i="9"/>
  <c r="M106" i="9"/>
  <c r="M107" i="9"/>
  <c r="M108" i="9"/>
  <c r="M109" i="9"/>
  <c r="M110" i="9"/>
  <c r="M111" i="9"/>
  <c r="M112" i="9"/>
  <c r="M113" i="9"/>
  <c r="M114" i="9"/>
  <c r="K104" i="9"/>
  <c r="K105" i="9"/>
  <c r="K106" i="9"/>
  <c r="K107" i="9"/>
  <c r="K108" i="9"/>
  <c r="K109" i="9"/>
  <c r="K110" i="9"/>
  <c r="K111" i="9"/>
  <c r="K112" i="9"/>
  <c r="K113" i="9"/>
  <c r="K114" i="9"/>
  <c r="F104" i="9"/>
  <c r="F105" i="9"/>
  <c r="F106" i="9"/>
  <c r="F107" i="9"/>
  <c r="F108" i="9"/>
  <c r="F109" i="9"/>
  <c r="F110" i="9"/>
  <c r="F111" i="9"/>
  <c r="F112" i="9"/>
  <c r="F113" i="9"/>
  <c r="F114" i="9"/>
  <c r="E104" i="9"/>
  <c r="E105" i="9"/>
  <c r="E106" i="9"/>
  <c r="E107" i="9"/>
  <c r="E108" i="9"/>
  <c r="E109" i="9"/>
  <c r="E110" i="9"/>
  <c r="E111" i="9"/>
  <c r="E112" i="9"/>
  <c r="E113" i="9"/>
  <c r="E114" i="9"/>
  <c r="D104" i="9"/>
  <c r="D105" i="9"/>
  <c r="D106" i="9"/>
  <c r="D107" i="9"/>
  <c r="D108" i="9"/>
  <c r="D109" i="9"/>
  <c r="D110" i="9"/>
  <c r="D111" i="9"/>
  <c r="D112" i="9"/>
  <c r="D113" i="9"/>
  <c r="D114" i="9"/>
  <c r="C104" i="9"/>
  <c r="C105" i="9"/>
  <c r="C106" i="9"/>
  <c r="C107" i="9"/>
  <c r="C108" i="9"/>
  <c r="C109" i="9"/>
  <c r="C110" i="9"/>
  <c r="C111" i="9"/>
  <c r="C112" i="9"/>
  <c r="C113" i="9"/>
  <c r="C114" i="9"/>
  <c r="B104" i="9"/>
  <c r="B105" i="9"/>
  <c r="B106" i="9"/>
  <c r="B107" i="9"/>
  <c r="B108" i="9"/>
  <c r="B109" i="9"/>
  <c r="B110" i="9"/>
  <c r="B111" i="9"/>
  <c r="B112" i="9"/>
  <c r="B113" i="9"/>
  <c r="B114" i="9"/>
  <c r="A104" i="9"/>
  <c r="A105" i="9"/>
  <c r="A106" i="9"/>
  <c r="A107" i="9"/>
  <c r="A108" i="9"/>
  <c r="A109" i="9"/>
  <c r="A110" i="9"/>
  <c r="A111" i="9"/>
  <c r="A112" i="9"/>
  <c r="A113" i="9"/>
  <c r="A114" i="9"/>
  <c r="L114" i="9"/>
  <c r="L113" i="9"/>
  <c r="L112" i="9"/>
  <c r="L111" i="9" l="1"/>
  <c r="L110" i="9"/>
  <c r="L109" i="9"/>
  <c r="L108" i="9"/>
  <c r="L107" i="9"/>
  <c r="L106" i="9"/>
  <c r="L105" i="9" l="1"/>
  <c r="L104" i="9"/>
  <c r="O2" i="9" l="1"/>
  <c r="N2" i="9"/>
  <c r="M97" i="9"/>
  <c r="M98" i="9"/>
  <c r="M99" i="9"/>
  <c r="M100" i="9"/>
  <c r="M101" i="9"/>
  <c r="M102" i="9"/>
  <c r="M103" i="9"/>
  <c r="K97" i="9"/>
  <c r="K98" i="9"/>
  <c r="K99" i="9"/>
  <c r="K100" i="9"/>
  <c r="K101" i="9"/>
  <c r="K102" i="9"/>
  <c r="K103" i="9"/>
  <c r="F97" i="9"/>
  <c r="F98" i="9"/>
  <c r="F99" i="9"/>
  <c r="F100" i="9"/>
  <c r="F101" i="9"/>
  <c r="F102" i="9"/>
  <c r="F103" i="9"/>
  <c r="E97" i="9"/>
  <c r="E98" i="9"/>
  <c r="E99" i="9"/>
  <c r="E100" i="9"/>
  <c r="E101" i="9"/>
  <c r="E102" i="9"/>
  <c r="E103" i="9"/>
  <c r="D97" i="9"/>
  <c r="D98" i="9"/>
  <c r="D99" i="9"/>
  <c r="D100" i="9"/>
  <c r="D101" i="9"/>
  <c r="D102" i="9"/>
  <c r="D103" i="9"/>
  <c r="C97" i="9"/>
  <c r="C98" i="9"/>
  <c r="C99" i="9"/>
  <c r="C100" i="9"/>
  <c r="C101" i="9"/>
  <c r="C102" i="9"/>
  <c r="C103" i="9"/>
  <c r="B97" i="9"/>
  <c r="B98" i="9"/>
  <c r="B99" i="9"/>
  <c r="B100" i="9"/>
  <c r="B101" i="9"/>
  <c r="B102" i="9"/>
  <c r="B103" i="9"/>
  <c r="A97" i="9"/>
  <c r="A98" i="9"/>
  <c r="A99" i="9"/>
  <c r="A100" i="9"/>
  <c r="A101" i="9"/>
  <c r="A102" i="9"/>
  <c r="A103" i="9"/>
  <c r="L103" i="9" l="1"/>
  <c r="L102" i="9" l="1"/>
  <c r="L101" i="9"/>
  <c r="L100" i="9"/>
  <c r="L99" i="9" l="1"/>
  <c r="L98" i="9"/>
  <c r="L97" i="9" l="1"/>
  <c r="K96" i="9" l="1"/>
  <c r="M96" i="9"/>
  <c r="D96" i="9"/>
  <c r="E96" i="9"/>
  <c r="F96" i="9"/>
  <c r="B96" i="9"/>
  <c r="C96" i="9"/>
  <c r="A96" i="9"/>
  <c r="M86" i="9"/>
  <c r="M87" i="9"/>
  <c r="M88" i="9"/>
  <c r="M89" i="9"/>
  <c r="M90" i="9"/>
  <c r="M91" i="9"/>
  <c r="M92" i="9"/>
  <c r="M93" i="9"/>
  <c r="M94" i="9"/>
  <c r="M95" i="9"/>
  <c r="K86" i="9"/>
  <c r="K87" i="9"/>
  <c r="K88" i="9"/>
  <c r="K89" i="9"/>
  <c r="K90" i="9"/>
  <c r="K91" i="9"/>
  <c r="K92" i="9"/>
  <c r="K93" i="9"/>
  <c r="K94" i="9"/>
  <c r="K95" i="9"/>
  <c r="F86" i="9"/>
  <c r="F87" i="9"/>
  <c r="F88" i="9"/>
  <c r="F89" i="9"/>
  <c r="F90" i="9"/>
  <c r="F91" i="9"/>
  <c r="F92" i="9"/>
  <c r="F93" i="9"/>
  <c r="F94" i="9"/>
  <c r="F95" i="9"/>
  <c r="E86" i="9"/>
  <c r="E87" i="9"/>
  <c r="E88" i="9"/>
  <c r="E89" i="9"/>
  <c r="E90" i="9"/>
  <c r="E91" i="9"/>
  <c r="E92" i="9"/>
  <c r="E93" i="9"/>
  <c r="E94" i="9"/>
  <c r="E95" i="9"/>
  <c r="D86" i="9"/>
  <c r="D87" i="9"/>
  <c r="D88" i="9"/>
  <c r="D89" i="9"/>
  <c r="D90" i="9"/>
  <c r="D91" i="9"/>
  <c r="D92" i="9"/>
  <c r="D93" i="9"/>
  <c r="D94" i="9"/>
  <c r="D95" i="9"/>
  <c r="C86" i="9"/>
  <c r="C87" i="9"/>
  <c r="C88" i="9"/>
  <c r="C89" i="9"/>
  <c r="C90" i="9"/>
  <c r="C91" i="9"/>
  <c r="C92" i="9"/>
  <c r="C93" i="9"/>
  <c r="C94" i="9"/>
  <c r="C95" i="9"/>
  <c r="B86" i="9"/>
  <c r="B87" i="9"/>
  <c r="B88" i="9"/>
  <c r="B89" i="9"/>
  <c r="B90" i="9"/>
  <c r="B91" i="9"/>
  <c r="B92" i="9"/>
  <c r="B93" i="9"/>
  <c r="B94" i="9"/>
  <c r="B95" i="9"/>
  <c r="A86" i="9"/>
  <c r="A87" i="9"/>
  <c r="A88" i="9"/>
  <c r="A89" i="9"/>
  <c r="A90" i="9"/>
  <c r="A91" i="9"/>
  <c r="A92" i="9"/>
  <c r="A93" i="9"/>
  <c r="A94" i="9"/>
  <c r="A95" i="9"/>
  <c r="L94" i="9"/>
  <c r="L95" i="9"/>
  <c r="L96" i="9"/>
  <c r="L93" i="9"/>
  <c r="L92" i="9"/>
  <c r="L91" i="9"/>
  <c r="L90" i="9"/>
  <c r="L89" i="9"/>
  <c r="L88" i="9"/>
  <c r="L87" i="9"/>
  <c r="L86" i="9"/>
  <c r="M71" i="9" l="1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L85" i="9"/>
  <c r="L84" i="9"/>
  <c r="L83" i="9"/>
  <c r="L82" i="9" l="1"/>
  <c r="L81" i="9"/>
  <c r="L80" i="9"/>
  <c r="L79" i="9"/>
  <c r="L78" i="9" l="1"/>
  <c r="L77" i="9"/>
  <c r="L76" i="9"/>
  <c r="L75" i="9"/>
  <c r="L74" i="9"/>
  <c r="L73" i="9"/>
  <c r="L72" i="9"/>
  <c r="L71" i="9"/>
  <c r="M65" i="9" l="1"/>
  <c r="M66" i="9"/>
  <c r="M67" i="9"/>
  <c r="M68" i="9"/>
  <c r="M69" i="9"/>
  <c r="M70" i="9"/>
  <c r="K65" i="9"/>
  <c r="K66" i="9"/>
  <c r="K67" i="9"/>
  <c r="K68" i="9"/>
  <c r="K69" i="9"/>
  <c r="K70" i="9"/>
  <c r="F65" i="9"/>
  <c r="F66" i="9"/>
  <c r="F67" i="9"/>
  <c r="F68" i="9"/>
  <c r="F69" i="9"/>
  <c r="F70" i="9"/>
  <c r="E65" i="9"/>
  <c r="E66" i="9"/>
  <c r="E67" i="9"/>
  <c r="E68" i="9"/>
  <c r="E69" i="9"/>
  <c r="E70" i="9"/>
  <c r="D65" i="9"/>
  <c r="D66" i="9"/>
  <c r="D67" i="9"/>
  <c r="D68" i="9"/>
  <c r="D69" i="9"/>
  <c r="D70" i="9"/>
  <c r="C65" i="9"/>
  <c r="C66" i="9"/>
  <c r="C67" i="9"/>
  <c r="C68" i="9"/>
  <c r="C69" i="9"/>
  <c r="C70" i="9"/>
  <c r="B65" i="9"/>
  <c r="B66" i="9"/>
  <c r="B67" i="9"/>
  <c r="B68" i="9"/>
  <c r="B69" i="9"/>
  <c r="B70" i="9"/>
  <c r="A65" i="9"/>
  <c r="A66" i="9"/>
  <c r="A67" i="9"/>
  <c r="A68" i="9"/>
  <c r="A69" i="9"/>
  <c r="A70" i="9"/>
  <c r="B64" i="9"/>
  <c r="C64" i="9"/>
  <c r="D64" i="9"/>
  <c r="E64" i="9"/>
  <c r="F64" i="9"/>
  <c r="K64" i="9"/>
  <c r="M64" i="9"/>
  <c r="L70" i="9"/>
  <c r="L69" i="9"/>
  <c r="L68" i="9"/>
  <c r="L67" i="9"/>
  <c r="L66" i="9" l="1"/>
  <c r="L65" i="9"/>
  <c r="A64" i="9" l="1"/>
  <c r="L64" i="9" l="1"/>
  <c r="C60" i="9"/>
  <c r="D60" i="9"/>
  <c r="E60" i="9"/>
  <c r="F60" i="9"/>
  <c r="K60" i="9"/>
  <c r="M60" i="9"/>
  <c r="C61" i="9"/>
  <c r="D61" i="9"/>
  <c r="E61" i="9"/>
  <c r="F61" i="9"/>
  <c r="K61" i="9"/>
  <c r="M61" i="9"/>
  <c r="C62" i="9"/>
  <c r="D62" i="9"/>
  <c r="E62" i="9"/>
  <c r="F62" i="9"/>
  <c r="K62" i="9"/>
  <c r="M62" i="9"/>
  <c r="C63" i="9"/>
  <c r="D63" i="9"/>
  <c r="E63" i="9"/>
  <c r="F63" i="9"/>
  <c r="K63" i="9"/>
  <c r="M63" i="9"/>
  <c r="B60" i="9"/>
  <c r="B61" i="9"/>
  <c r="B62" i="9"/>
  <c r="B63" i="9"/>
  <c r="A60" i="9"/>
  <c r="A61" i="9"/>
  <c r="A62" i="9"/>
  <c r="A63" i="9"/>
  <c r="L63" i="9" l="1"/>
  <c r="L62" i="9"/>
  <c r="L61" i="9"/>
  <c r="L60" i="9"/>
  <c r="K53" i="9" l="1"/>
  <c r="M53" i="9"/>
  <c r="K54" i="9"/>
  <c r="M54" i="9"/>
  <c r="K55" i="9"/>
  <c r="M55" i="9"/>
  <c r="K56" i="9"/>
  <c r="M56" i="9"/>
  <c r="K57" i="9"/>
  <c r="M57" i="9"/>
  <c r="K58" i="9"/>
  <c r="M58" i="9"/>
  <c r="K59" i="9"/>
  <c r="M59" i="9"/>
  <c r="D53" i="9"/>
  <c r="E53" i="9"/>
  <c r="F53" i="9"/>
  <c r="D54" i="9"/>
  <c r="E54" i="9"/>
  <c r="F54" i="9"/>
  <c r="D55" i="9"/>
  <c r="E55" i="9"/>
  <c r="F55" i="9"/>
  <c r="D56" i="9"/>
  <c r="E56" i="9"/>
  <c r="F56" i="9"/>
  <c r="D57" i="9"/>
  <c r="E57" i="9"/>
  <c r="F57" i="9"/>
  <c r="D58" i="9"/>
  <c r="E58" i="9"/>
  <c r="F58" i="9"/>
  <c r="D59" i="9"/>
  <c r="E59" i="9"/>
  <c r="F59" i="9"/>
  <c r="C53" i="9"/>
  <c r="C54" i="9"/>
  <c r="C55" i="9"/>
  <c r="C56" i="9"/>
  <c r="C57" i="9"/>
  <c r="C58" i="9"/>
  <c r="C59" i="9"/>
  <c r="B53" i="9"/>
  <c r="B54" i="9"/>
  <c r="B55" i="9"/>
  <c r="B56" i="9"/>
  <c r="B57" i="9"/>
  <c r="B58" i="9"/>
  <c r="B59" i="9"/>
  <c r="A53" i="9"/>
  <c r="A54" i="9"/>
  <c r="A55" i="9"/>
  <c r="A56" i="9"/>
  <c r="A57" i="9"/>
  <c r="A58" i="9"/>
  <c r="A59" i="9"/>
  <c r="L59" i="9" l="1"/>
  <c r="L58" i="9" l="1"/>
  <c r="L57" i="9"/>
  <c r="L56" i="9"/>
  <c r="L55" i="9" l="1"/>
  <c r="L54" i="9"/>
  <c r="L53" i="9"/>
  <c r="M39" i="9" l="1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L52" i="9"/>
  <c r="L51" i="9"/>
  <c r="L50" i="9"/>
  <c r="L49" i="9"/>
  <c r="L48" i="9"/>
  <c r="L47" i="9"/>
  <c r="L46" i="9"/>
  <c r="L45" i="9"/>
  <c r="L44" i="9"/>
  <c r="L43" i="9" l="1"/>
  <c r="L42" i="9"/>
  <c r="L41" i="9"/>
  <c r="L40" i="9"/>
  <c r="L39" i="9"/>
  <c r="A37" i="9" l="1"/>
  <c r="B37" i="9"/>
  <c r="C37" i="9"/>
  <c r="D37" i="9"/>
  <c r="E37" i="9"/>
  <c r="F37" i="9"/>
  <c r="K37" i="9"/>
  <c r="M37" i="9"/>
  <c r="A38" i="9"/>
  <c r="B38" i="9"/>
  <c r="C38" i="9"/>
  <c r="D38" i="9"/>
  <c r="E38" i="9"/>
  <c r="F38" i="9"/>
  <c r="K38" i="9"/>
  <c r="M38" i="9"/>
  <c r="L38" i="9" l="1"/>
  <c r="L37" i="9"/>
  <c r="M3" i="9" l="1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C2" i="9"/>
  <c r="B2" i="9"/>
  <c r="A36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2" i="9"/>
  <c r="L36" i="9" l="1"/>
  <c r="L35" i="9"/>
  <c r="L34" i="9"/>
  <c r="L33" i="9" l="1"/>
  <c r="L32" i="9"/>
  <c r="L31" i="9" l="1"/>
  <c r="L30" i="9"/>
  <c r="L29" i="9"/>
  <c r="L28" i="9"/>
  <c r="L27" i="9"/>
  <c r="L26" i="9"/>
  <c r="L25" i="9" l="1"/>
  <c r="L24" i="9"/>
  <c r="L23" i="9" l="1"/>
  <c r="L22" i="9" l="1"/>
  <c r="L21" i="9"/>
  <c r="L20" i="9"/>
  <c r="L19" i="9" l="1"/>
  <c r="L18" i="9"/>
  <c r="L17" i="9"/>
  <c r="L16" i="9" l="1"/>
  <c r="L15" i="9"/>
  <c r="L14" i="9" l="1"/>
  <c r="L13" i="9"/>
  <c r="L12" i="9" l="1"/>
  <c r="L11" i="9"/>
  <c r="L10" i="9"/>
  <c r="L9" i="9" l="1"/>
  <c r="L8" i="9" l="1"/>
  <c r="L7" i="9"/>
  <c r="L6" i="9" l="1"/>
  <c r="L3" i="9" l="1"/>
  <c r="L4" i="9"/>
  <c r="L5" i="9"/>
  <c r="L2" i="9"/>
  <c r="G2" i="9"/>
  <c r="G3" i="9" l="1"/>
  <c r="H3" i="9"/>
  <c r="I3" i="9"/>
  <c r="J3" i="9"/>
  <c r="G4" i="9"/>
  <c r="H4" i="9"/>
  <c r="I4" i="9"/>
  <c r="J4" i="9"/>
  <c r="G5" i="9"/>
  <c r="H5" i="9"/>
  <c r="I5" i="9"/>
  <c r="J5" i="9"/>
  <c r="G6" i="9"/>
  <c r="H6" i="9"/>
  <c r="I6" i="9"/>
  <c r="J6" i="9"/>
  <c r="G7" i="9"/>
  <c r="H7" i="9"/>
  <c r="I7" i="9"/>
  <c r="J7" i="9"/>
  <c r="G8" i="9"/>
  <c r="H8" i="9"/>
  <c r="I8" i="9"/>
  <c r="J8" i="9"/>
  <c r="G9" i="9"/>
  <c r="H9" i="9"/>
  <c r="I9" i="9"/>
  <c r="J9" i="9"/>
  <c r="G10" i="9"/>
  <c r="H10" i="9"/>
  <c r="I10" i="9"/>
  <c r="J10" i="9"/>
  <c r="G11" i="9"/>
  <c r="H11" i="9"/>
  <c r="I11" i="9"/>
  <c r="J11" i="9"/>
  <c r="G12" i="9"/>
  <c r="H12" i="9"/>
  <c r="I12" i="9"/>
  <c r="J12" i="9"/>
  <c r="G13" i="9"/>
  <c r="H13" i="9"/>
  <c r="I13" i="9"/>
  <c r="J13" i="9"/>
  <c r="G14" i="9"/>
  <c r="H14" i="9"/>
  <c r="I14" i="9"/>
  <c r="J14" i="9"/>
  <c r="G15" i="9"/>
  <c r="H15" i="9"/>
  <c r="I15" i="9"/>
  <c r="J15" i="9"/>
  <c r="G16" i="9"/>
  <c r="H16" i="9"/>
  <c r="I16" i="9"/>
  <c r="J16" i="9"/>
  <c r="G17" i="9"/>
  <c r="H17" i="9"/>
  <c r="I17" i="9"/>
  <c r="J17" i="9"/>
  <c r="G18" i="9"/>
  <c r="H18" i="9"/>
  <c r="I18" i="9"/>
  <c r="J18" i="9"/>
  <c r="G19" i="9"/>
  <c r="H19" i="9"/>
  <c r="I19" i="9"/>
  <c r="J19" i="9"/>
  <c r="G20" i="9"/>
  <c r="H20" i="9"/>
  <c r="I20" i="9"/>
  <c r="J20" i="9"/>
  <c r="G21" i="9"/>
  <c r="H21" i="9"/>
  <c r="I21" i="9"/>
  <c r="J21" i="9"/>
  <c r="G22" i="9"/>
  <c r="H22" i="9"/>
  <c r="I22" i="9"/>
  <c r="J22" i="9"/>
  <c r="G23" i="9"/>
  <c r="H23" i="9"/>
  <c r="I23" i="9"/>
  <c r="J23" i="9"/>
  <c r="G24" i="9"/>
  <c r="H24" i="9"/>
  <c r="I24" i="9"/>
  <c r="J24" i="9"/>
  <c r="G25" i="9"/>
  <c r="H25" i="9"/>
  <c r="I25" i="9"/>
  <c r="J25" i="9"/>
  <c r="G26" i="9"/>
  <c r="H26" i="9"/>
  <c r="I26" i="9"/>
  <c r="J26" i="9"/>
  <c r="G27" i="9"/>
  <c r="H27" i="9"/>
  <c r="I27" i="9"/>
  <c r="J27" i="9"/>
  <c r="G28" i="9"/>
  <c r="H28" i="9"/>
  <c r="I28" i="9"/>
  <c r="J28" i="9"/>
  <c r="G29" i="9"/>
  <c r="H29" i="9"/>
  <c r="I29" i="9"/>
  <c r="J29" i="9"/>
  <c r="G30" i="9"/>
  <c r="H30" i="9"/>
  <c r="I30" i="9"/>
  <c r="J30" i="9"/>
  <c r="G31" i="9"/>
  <c r="H31" i="9"/>
  <c r="I31" i="9"/>
  <c r="J31" i="9"/>
  <c r="G32" i="9"/>
  <c r="H32" i="9"/>
  <c r="I32" i="9"/>
  <c r="J32" i="9"/>
  <c r="G33" i="9"/>
  <c r="H33" i="9"/>
  <c r="I33" i="9"/>
  <c r="J33" i="9"/>
  <c r="G34" i="9"/>
  <c r="H34" i="9"/>
  <c r="I34" i="9"/>
  <c r="J34" i="9"/>
  <c r="G35" i="9"/>
  <c r="H35" i="9"/>
  <c r="I35" i="9"/>
  <c r="J35" i="9"/>
  <c r="G36" i="9"/>
  <c r="H36" i="9"/>
  <c r="I36" i="9"/>
  <c r="J36" i="9"/>
  <c r="G37" i="9"/>
  <c r="H37" i="9"/>
  <c r="I37" i="9"/>
  <c r="J37" i="9"/>
  <c r="G38" i="9"/>
  <c r="H38" i="9"/>
  <c r="I38" i="9"/>
  <c r="J38" i="9"/>
  <c r="G39" i="9"/>
  <c r="H39" i="9"/>
  <c r="I39" i="9"/>
  <c r="J39" i="9"/>
  <c r="G40" i="9"/>
  <c r="H40" i="9"/>
  <c r="I40" i="9"/>
  <c r="J40" i="9"/>
  <c r="G41" i="9"/>
  <c r="H41" i="9"/>
  <c r="I41" i="9"/>
  <c r="J41" i="9"/>
  <c r="G42" i="9"/>
  <c r="H42" i="9"/>
  <c r="I42" i="9"/>
  <c r="J42" i="9"/>
  <c r="G43" i="9"/>
  <c r="H43" i="9"/>
  <c r="I43" i="9"/>
  <c r="J43" i="9"/>
  <c r="G44" i="9"/>
  <c r="H44" i="9"/>
  <c r="I44" i="9"/>
  <c r="J44" i="9"/>
  <c r="G45" i="9"/>
  <c r="H45" i="9"/>
  <c r="I45" i="9"/>
  <c r="J45" i="9"/>
  <c r="G46" i="9"/>
  <c r="H46" i="9"/>
  <c r="I46" i="9"/>
  <c r="J46" i="9"/>
  <c r="G47" i="9"/>
  <c r="H47" i="9"/>
  <c r="I47" i="9"/>
  <c r="J47" i="9"/>
  <c r="G48" i="9"/>
  <c r="H48" i="9"/>
  <c r="I48" i="9"/>
  <c r="J48" i="9"/>
  <c r="G49" i="9"/>
  <c r="H49" i="9"/>
  <c r="I49" i="9"/>
  <c r="J49" i="9"/>
  <c r="G50" i="9"/>
  <c r="H50" i="9"/>
  <c r="I50" i="9"/>
  <c r="J50" i="9"/>
  <c r="G51" i="9"/>
  <c r="H51" i="9"/>
  <c r="I51" i="9"/>
  <c r="J51" i="9"/>
  <c r="G52" i="9"/>
  <c r="H52" i="9"/>
  <c r="I52" i="9"/>
  <c r="J52" i="9"/>
  <c r="G53" i="9"/>
  <c r="H53" i="9"/>
  <c r="I53" i="9"/>
  <c r="J53" i="9"/>
  <c r="G54" i="9"/>
  <c r="H54" i="9"/>
  <c r="I54" i="9"/>
  <c r="J54" i="9"/>
  <c r="G55" i="9"/>
  <c r="H55" i="9"/>
  <c r="I55" i="9"/>
  <c r="J55" i="9"/>
  <c r="G56" i="9"/>
  <c r="H56" i="9"/>
  <c r="I56" i="9"/>
  <c r="J56" i="9"/>
  <c r="G57" i="9"/>
  <c r="H57" i="9"/>
  <c r="I57" i="9"/>
  <c r="J57" i="9"/>
  <c r="G58" i="9"/>
  <c r="H58" i="9"/>
  <c r="I58" i="9"/>
  <c r="J58" i="9"/>
  <c r="G59" i="9"/>
  <c r="H59" i="9"/>
  <c r="I59" i="9"/>
  <c r="J59" i="9"/>
  <c r="G60" i="9"/>
  <c r="H60" i="9"/>
  <c r="I60" i="9"/>
  <c r="J60" i="9"/>
  <c r="G61" i="9"/>
  <c r="H61" i="9"/>
  <c r="I61" i="9"/>
  <c r="J61" i="9"/>
  <c r="G62" i="9"/>
  <c r="H62" i="9"/>
  <c r="I62" i="9"/>
  <c r="J62" i="9"/>
  <c r="G63" i="9"/>
  <c r="H63" i="9"/>
  <c r="I63" i="9"/>
  <c r="J63" i="9"/>
  <c r="G64" i="9"/>
  <c r="H64" i="9"/>
  <c r="I64" i="9"/>
  <c r="J64" i="9"/>
  <c r="G65" i="9"/>
  <c r="H65" i="9"/>
  <c r="I65" i="9"/>
  <c r="J65" i="9"/>
  <c r="G66" i="9"/>
  <c r="H66" i="9"/>
  <c r="I66" i="9"/>
  <c r="J66" i="9"/>
  <c r="G67" i="9"/>
  <c r="H67" i="9"/>
  <c r="I67" i="9"/>
  <c r="J67" i="9"/>
  <c r="G68" i="9"/>
  <c r="H68" i="9"/>
  <c r="I68" i="9"/>
  <c r="J68" i="9"/>
  <c r="G69" i="9"/>
  <c r="H69" i="9"/>
  <c r="I69" i="9"/>
  <c r="J69" i="9"/>
  <c r="G70" i="9"/>
  <c r="H70" i="9"/>
  <c r="I70" i="9"/>
  <c r="J70" i="9"/>
  <c r="G71" i="9"/>
  <c r="H71" i="9"/>
  <c r="I71" i="9"/>
  <c r="J71" i="9"/>
  <c r="G72" i="9"/>
  <c r="H72" i="9"/>
  <c r="I72" i="9"/>
  <c r="J72" i="9"/>
  <c r="G73" i="9"/>
  <c r="H73" i="9"/>
  <c r="I73" i="9"/>
  <c r="J73" i="9"/>
  <c r="G74" i="9"/>
  <c r="H74" i="9"/>
  <c r="I74" i="9"/>
  <c r="J74" i="9"/>
  <c r="G75" i="9"/>
  <c r="H75" i="9"/>
  <c r="I75" i="9"/>
  <c r="J75" i="9"/>
  <c r="G76" i="9"/>
  <c r="H76" i="9"/>
  <c r="I76" i="9"/>
  <c r="J76" i="9"/>
  <c r="G77" i="9"/>
  <c r="H77" i="9"/>
  <c r="I77" i="9"/>
  <c r="J77" i="9"/>
  <c r="G78" i="9"/>
  <c r="H78" i="9"/>
  <c r="I78" i="9"/>
  <c r="J78" i="9"/>
  <c r="G79" i="9"/>
  <c r="H79" i="9"/>
  <c r="I79" i="9"/>
  <c r="J79" i="9"/>
  <c r="G80" i="9"/>
  <c r="H80" i="9"/>
  <c r="I80" i="9"/>
  <c r="J80" i="9"/>
  <c r="G81" i="9"/>
  <c r="H81" i="9"/>
  <c r="I81" i="9"/>
  <c r="J81" i="9"/>
  <c r="G82" i="9"/>
  <c r="H82" i="9"/>
  <c r="I82" i="9"/>
  <c r="J82" i="9"/>
  <c r="G83" i="9"/>
  <c r="H83" i="9"/>
  <c r="I83" i="9"/>
  <c r="J83" i="9"/>
  <c r="G84" i="9"/>
  <c r="H84" i="9"/>
  <c r="I84" i="9"/>
  <c r="J84" i="9"/>
  <c r="G85" i="9"/>
  <c r="H85" i="9"/>
  <c r="I85" i="9"/>
  <c r="J85" i="9"/>
  <c r="G86" i="9"/>
  <c r="H86" i="9"/>
  <c r="I86" i="9"/>
  <c r="J86" i="9"/>
  <c r="G87" i="9"/>
  <c r="H87" i="9"/>
  <c r="I87" i="9"/>
  <c r="J87" i="9"/>
  <c r="G88" i="9"/>
  <c r="H88" i="9"/>
  <c r="I88" i="9"/>
  <c r="J88" i="9"/>
  <c r="G89" i="9"/>
  <c r="H89" i="9"/>
  <c r="I89" i="9"/>
  <c r="J89" i="9"/>
  <c r="G90" i="9"/>
  <c r="H90" i="9"/>
  <c r="I90" i="9"/>
  <c r="J90" i="9"/>
  <c r="G91" i="9"/>
  <c r="H91" i="9"/>
  <c r="I91" i="9"/>
  <c r="J91" i="9"/>
  <c r="G92" i="9"/>
  <c r="H92" i="9"/>
  <c r="I92" i="9"/>
  <c r="J92" i="9"/>
  <c r="G93" i="9"/>
  <c r="H93" i="9"/>
  <c r="I93" i="9"/>
  <c r="J93" i="9"/>
  <c r="G94" i="9"/>
  <c r="H94" i="9"/>
  <c r="I94" i="9"/>
  <c r="J94" i="9"/>
  <c r="G95" i="9"/>
  <c r="H95" i="9"/>
  <c r="I95" i="9"/>
  <c r="J95" i="9"/>
  <c r="G96" i="9"/>
  <c r="H96" i="9"/>
  <c r="I96" i="9"/>
  <c r="J96" i="9"/>
  <c r="G97" i="9"/>
  <c r="H97" i="9"/>
  <c r="I97" i="9"/>
  <c r="J97" i="9"/>
  <c r="G98" i="9"/>
  <c r="H98" i="9"/>
  <c r="I98" i="9"/>
  <c r="J98" i="9"/>
  <c r="G99" i="9"/>
  <c r="H99" i="9"/>
  <c r="I99" i="9"/>
  <c r="J99" i="9"/>
  <c r="G100" i="9"/>
  <c r="H100" i="9"/>
  <c r="I100" i="9"/>
  <c r="J100" i="9"/>
  <c r="G101" i="9"/>
  <c r="H101" i="9"/>
  <c r="I101" i="9"/>
  <c r="J101" i="9"/>
  <c r="G102" i="9"/>
  <c r="H102" i="9"/>
  <c r="I102" i="9"/>
  <c r="J102" i="9"/>
  <c r="G103" i="9"/>
  <c r="H103" i="9"/>
  <c r="I103" i="9"/>
  <c r="J103" i="9"/>
  <c r="G104" i="9"/>
  <c r="H104" i="9"/>
  <c r="I104" i="9"/>
  <c r="J104" i="9"/>
  <c r="G105" i="9"/>
  <c r="H105" i="9"/>
  <c r="I105" i="9"/>
  <c r="J105" i="9"/>
  <c r="G106" i="9"/>
  <c r="H106" i="9"/>
  <c r="I106" i="9"/>
  <c r="J106" i="9"/>
  <c r="G107" i="9"/>
  <c r="H107" i="9"/>
  <c r="I107" i="9"/>
  <c r="J107" i="9"/>
  <c r="G108" i="9"/>
  <c r="H108" i="9"/>
  <c r="I108" i="9"/>
  <c r="J108" i="9"/>
  <c r="G109" i="9"/>
  <c r="H109" i="9"/>
  <c r="I109" i="9"/>
  <c r="J109" i="9"/>
  <c r="G110" i="9"/>
  <c r="H110" i="9"/>
  <c r="I110" i="9"/>
  <c r="J110" i="9"/>
  <c r="G111" i="9"/>
  <c r="H111" i="9"/>
  <c r="I111" i="9"/>
  <c r="J111" i="9"/>
  <c r="G112" i="9"/>
  <c r="H112" i="9"/>
  <c r="I112" i="9"/>
  <c r="J112" i="9"/>
  <c r="G113" i="9"/>
  <c r="H113" i="9"/>
  <c r="I113" i="9"/>
  <c r="J113" i="9"/>
  <c r="G114" i="9"/>
  <c r="H114" i="9"/>
  <c r="I114" i="9"/>
  <c r="J114" i="9"/>
  <c r="G115" i="9"/>
  <c r="H115" i="9"/>
  <c r="I115" i="9"/>
  <c r="J115" i="9"/>
  <c r="G116" i="9"/>
  <c r="H116" i="9"/>
  <c r="I116" i="9"/>
  <c r="J116" i="9"/>
  <c r="G117" i="9"/>
  <c r="H117" i="9"/>
  <c r="I117" i="9"/>
  <c r="J117" i="9"/>
  <c r="G118" i="9"/>
  <c r="H118" i="9"/>
  <c r="I118" i="9"/>
  <c r="J118" i="9"/>
  <c r="G119" i="9"/>
  <c r="H119" i="9"/>
  <c r="I119" i="9"/>
  <c r="J119" i="9"/>
  <c r="G120" i="9"/>
  <c r="H120" i="9"/>
  <c r="I120" i="9"/>
  <c r="J120" i="9"/>
  <c r="G121" i="9"/>
  <c r="H121" i="9"/>
  <c r="I121" i="9"/>
  <c r="J121" i="9"/>
  <c r="G122" i="9"/>
  <c r="H122" i="9"/>
  <c r="I122" i="9"/>
  <c r="J122" i="9"/>
  <c r="G123" i="9"/>
  <c r="H123" i="9"/>
  <c r="I123" i="9"/>
  <c r="J123" i="9"/>
  <c r="G124" i="9"/>
  <c r="H124" i="9"/>
  <c r="I124" i="9"/>
  <c r="J124" i="9"/>
  <c r="G125" i="9"/>
  <c r="H125" i="9"/>
  <c r="I125" i="9"/>
  <c r="J125" i="9"/>
  <c r="G126" i="9"/>
  <c r="H126" i="9"/>
  <c r="I126" i="9"/>
  <c r="J126" i="9"/>
  <c r="G127" i="9"/>
  <c r="H127" i="9"/>
  <c r="I127" i="9"/>
  <c r="J127" i="9"/>
  <c r="G128" i="9"/>
  <c r="H128" i="9"/>
  <c r="I128" i="9"/>
  <c r="J128" i="9"/>
  <c r="G129" i="9"/>
  <c r="H129" i="9"/>
  <c r="I129" i="9"/>
  <c r="J129" i="9"/>
  <c r="G130" i="9"/>
  <c r="H130" i="9"/>
  <c r="I130" i="9"/>
  <c r="J130" i="9"/>
  <c r="G131" i="9"/>
  <c r="H131" i="9"/>
  <c r="I131" i="9"/>
  <c r="J131" i="9"/>
  <c r="G132" i="9"/>
  <c r="H132" i="9"/>
  <c r="I132" i="9"/>
  <c r="J132" i="9"/>
  <c r="G133" i="9"/>
  <c r="H133" i="9"/>
  <c r="I133" i="9"/>
  <c r="J133" i="9"/>
  <c r="G134" i="9"/>
  <c r="H134" i="9"/>
  <c r="I134" i="9"/>
  <c r="J134" i="9"/>
  <c r="G135" i="9"/>
  <c r="H135" i="9"/>
  <c r="I135" i="9"/>
  <c r="J135" i="9"/>
  <c r="G136" i="9"/>
  <c r="H136" i="9"/>
  <c r="I136" i="9"/>
  <c r="J136" i="9"/>
  <c r="G137" i="9"/>
  <c r="H137" i="9"/>
  <c r="I137" i="9"/>
  <c r="J137" i="9"/>
  <c r="G138" i="9"/>
  <c r="H138" i="9"/>
  <c r="I138" i="9"/>
  <c r="J138" i="9"/>
  <c r="G139" i="9"/>
  <c r="H139" i="9"/>
  <c r="I139" i="9"/>
  <c r="J139" i="9"/>
  <c r="G140" i="9"/>
  <c r="H140" i="9"/>
  <c r="I140" i="9"/>
  <c r="J140" i="9"/>
  <c r="G141" i="9"/>
  <c r="H141" i="9"/>
  <c r="I141" i="9"/>
  <c r="J141" i="9"/>
  <c r="G142" i="9"/>
  <c r="H142" i="9"/>
  <c r="I142" i="9"/>
  <c r="J142" i="9"/>
  <c r="G143" i="9"/>
  <c r="H143" i="9"/>
  <c r="I143" i="9"/>
  <c r="J143" i="9"/>
  <c r="G144" i="9"/>
  <c r="H144" i="9"/>
  <c r="I144" i="9"/>
  <c r="J144" i="9"/>
  <c r="G145" i="9"/>
  <c r="H145" i="9"/>
  <c r="I145" i="9"/>
  <c r="J145" i="9"/>
  <c r="G146" i="9"/>
  <c r="H146" i="9"/>
  <c r="I146" i="9"/>
  <c r="J146" i="9"/>
  <c r="G147" i="9"/>
  <c r="H147" i="9"/>
  <c r="I147" i="9"/>
  <c r="J147" i="9"/>
  <c r="G148" i="9"/>
  <c r="H148" i="9"/>
  <c r="I148" i="9"/>
  <c r="J148" i="9"/>
  <c r="G149" i="9"/>
  <c r="H149" i="9"/>
  <c r="I149" i="9"/>
  <c r="J149" i="9"/>
  <c r="G150" i="9"/>
  <c r="H150" i="9"/>
  <c r="I150" i="9"/>
  <c r="J150" i="9"/>
  <c r="G151" i="9"/>
  <c r="H151" i="9"/>
  <c r="I151" i="9"/>
  <c r="J151" i="9"/>
  <c r="G152" i="9"/>
  <c r="H152" i="9"/>
  <c r="I152" i="9"/>
  <c r="J152" i="9"/>
  <c r="G153" i="9"/>
  <c r="H153" i="9"/>
  <c r="I153" i="9"/>
  <c r="J153" i="9"/>
  <c r="G154" i="9"/>
  <c r="H154" i="9"/>
  <c r="I154" i="9"/>
  <c r="J154" i="9"/>
  <c r="G155" i="9"/>
  <c r="H155" i="9"/>
  <c r="I155" i="9"/>
  <c r="J155" i="9"/>
  <c r="G156" i="9"/>
  <c r="H156" i="9"/>
  <c r="I156" i="9"/>
  <c r="J156" i="9"/>
  <c r="G157" i="9"/>
  <c r="H157" i="9"/>
  <c r="I157" i="9"/>
  <c r="J157" i="9"/>
  <c r="G158" i="9"/>
  <c r="H158" i="9"/>
  <c r="I158" i="9"/>
  <c r="J158" i="9"/>
  <c r="G159" i="9"/>
  <c r="H159" i="9"/>
  <c r="I159" i="9"/>
  <c r="J159" i="9"/>
  <c r="G160" i="9"/>
  <c r="H160" i="9"/>
  <c r="I160" i="9"/>
  <c r="J160" i="9"/>
  <c r="G161" i="9"/>
  <c r="H161" i="9"/>
  <c r="I161" i="9"/>
  <c r="J161" i="9"/>
  <c r="G162" i="9"/>
  <c r="H162" i="9"/>
  <c r="I162" i="9"/>
  <c r="J162" i="9"/>
  <c r="G163" i="9"/>
  <c r="H163" i="9"/>
  <c r="I163" i="9"/>
  <c r="J163" i="9"/>
  <c r="G164" i="9"/>
  <c r="H164" i="9"/>
  <c r="I164" i="9"/>
  <c r="J164" i="9"/>
  <c r="G165" i="9"/>
  <c r="H165" i="9"/>
  <c r="I165" i="9"/>
  <c r="J165" i="9"/>
  <c r="G166" i="9"/>
  <c r="H166" i="9"/>
  <c r="I166" i="9"/>
  <c r="J166" i="9"/>
  <c r="G167" i="9"/>
  <c r="H167" i="9"/>
  <c r="I167" i="9"/>
  <c r="J167" i="9"/>
  <c r="G168" i="9"/>
  <c r="H168" i="9"/>
  <c r="I168" i="9"/>
  <c r="J168" i="9"/>
  <c r="G169" i="9"/>
  <c r="H169" i="9"/>
  <c r="I169" i="9"/>
  <c r="J169" i="9"/>
  <c r="G170" i="9"/>
  <c r="H170" i="9"/>
  <c r="I170" i="9"/>
  <c r="J170" i="9"/>
  <c r="G171" i="9"/>
  <c r="H171" i="9"/>
  <c r="I171" i="9"/>
  <c r="J171" i="9"/>
  <c r="G172" i="9"/>
  <c r="H172" i="9"/>
  <c r="I172" i="9"/>
  <c r="J172" i="9"/>
  <c r="G173" i="9"/>
  <c r="H173" i="9"/>
  <c r="I173" i="9"/>
  <c r="J173" i="9"/>
  <c r="G174" i="9"/>
  <c r="H174" i="9"/>
  <c r="I174" i="9"/>
  <c r="J174" i="9"/>
  <c r="G175" i="9"/>
  <c r="H175" i="9"/>
  <c r="I175" i="9"/>
  <c r="J175" i="9"/>
  <c r="G176" i="9"/>
  <c r="H176" i="9"/>
  <c r="I176" i="9"/>
  <c r="J176" i="9"/>
  <c r="G177" i="9"/>
  <c r="H177" i="9"/>
  <c r="I177" i="9"/>
  <c r="J177" i="9"/>
  <c r="G178" i="9"/>
  <c r="H178" i="9"/>
  <c r="I178" i="9"/>
  <c r="J178" i="9"/>
  <c r="G179" i="9"/>
  <c r="H179" i="9"/>
  <c r="I179" i="9"/>
  <c r="J179" i="9"/>
  <c r="G180" i="9"/>
  <c r="H180" i="9"/>
  <c r="I180" i="9"/>
  <c r="J180" i="9"/>
  <c r="G181" i="9"/>
  <c r="H181" i="9"/>
  <c r="I181" i="9"/>
  <c r="J181" i="9"/>
  <c r="G182" i="9"/>
  <c r="H182" i="9"/>
  <c r="I182" i="9"/>
  <c r="J182" i="9"/>
  <c r="G183" i="9"/>
  <c r="H183" i="9"/>
  <c r="I183" i="9"/>
  <c r="J183" i="9"/>
  <c r="G184" i="9"/>
  <c r="H184" i="9"/>
  <c r="I184" i="9"/>
  <c r="J184" i="9"/>
  <c r="G185" i="9"/>
  <c r="H185" i="9"/>
  <c r="I185" i="9"/>
  <c r="J185" i="9"/>
  <c r="G186" i="9"/>
  <c r="H186" i="9"/>
  <c r="I186" i="9"/>
  <c r="J186" i="9"/>
  <c r="G187" i="9"/>
  <c r="H187" i="9"/>
  <c r="I187" i="9"/>
  <c r="J187" i="9"/>
  <c r="G188" i="9"/>
  <c r="H188" i="9"/>
  <c r="I188" i="9"/>
  <c r="J188" i="9"/>
  <c r="G189" i="9"/>
  <c r="H189" i="9"/>
  <c r="I189" i="9"/>
  <c r="J189" i="9"/>
  <c r="G190" i="9"/>
  <c r="H190" i="9"/>
  <c r="I190" i="9"/>
  <c r="J190" i="9"/>
  <c r="G191" i="9"/>
  <c r="H191" i="9"/>
  <c r="I191" i="9"/>
  <c r="J191" i="9"/>
  <c r="G192" i="9"/>
  <c r="H192" i="9"/>
  <c r="I192" i="9"/>
  <c r="J192" i="9"/>
  <c r="G193" i="9"/>
  <c r="H193" i="9"/>
  <c r="I193" i="9"/>
  <c r="J193" i="9"/>
  <c r="G194" i="9"/>
  <c r="H194" i="9"/>
  <c r="I194" i="9"/>
  <c r="J194" i="9"/>
  <c r="G195" i="9"/>
  <c r="H195" i="9"/>
  <c r="I195" i="9"/>
  <c r="J195" i="9"/>
  <c r="G196" i="9"/>
  <c r="H196" i="9"/>
  <c r="I196" i="9"/>
  <c r="J196" i="9"/>
  <c r="G197" i="9"/>
  <c r="H197" i="9"/>
  <c r="I197" i="9"/>
  <c r="J197" i="9"/>
  <c r="G198" i="9"/>
  <c r="H198" i="9"/>
  <c r="I198" i="9"/>
  <c r="J198" i="9"/>
  <c r="G199" i="9"/>
  <c r="H199" i="9"/>
  <c r="I199" i="9"/>
  <c r="J199" i="9"/>
  <c r="G200" i="9"/>
  <c r="H200" i="9"/>
  <c r="I200" i="9"/>
  <c r="J200" i="9"/>
  <c r="G201" i="9"/>
  <c r="H201" i="9"/>
  <c r="I201" i="9"/>
  <c r="J201" i="9"/>
  <c r="G202" i="9"/>
  <c r="H202" i="9"/>
  <c r="I202" i="9"/>
  <c r="J202" i="9"/>
  <c r="G203" i="9"/>
  <c r="H203" i="9"/>
  <c r="I203" i="9"/>
  <c r="J203" i="9"/>
  <c r="G204" i="9"/>
  <c r="H204" i="9"/>
  <c r="I204" i="9"/>
  <c r="J204" i="9"/>
  <c r="G205" i="9"/>
  <c r="H205" i="9"/>
  <c r="I205" i="9"/>
  <c r="J205" i="9"/>
  <c r="G206" i="9"/>
  <c r="H206" i="9"/>
  <c r="I206" i="9"/>
  <c r="J206" i="9"/>
  <c r="G207" i="9"/>
  <c r="H207" i="9"/>
  <c r="I207" i="9"/>
  <c r="J207" i="9"/>
  <c r="G208" i="9"/>
  <c r="H208" i="9"/>
  <c r="I208" i="9"/>
  <c r="J208" i="9"/>
  <c r="G209" i="9"/>
  <c r="H209" i="9"/>
  <c r="I209" i="9"/>
  <c r="J209" i="9"/>
  <c r="G210" i="9"/>
  <c r="H210" i="9"/>
  <c r="I210" i="9"/>
  <c r="J210" i="9"/>
  <c r="G211" i="9"/>
  <c r="H211" i="9"/>
  <c r="I211" i="9"/>
  <c r="J211" i="9"/>
  <c r="G212" i="9"/>
  <c r="H212" i="9"/>
  <c r="I212" i="9"/>
  <c r="J212" i="9"/>
  <c r="G213" i="9"/>
  <c r="H213" i="9"/>
  <c r="I213" i="9"/>
  <c r="J213" i="9"/>
  <c r="G214" i="9"/>
  <c r="H214" i="9"/>
  <c r="I214" i="9"/>
  <c r="J214" i="9"/>
  <c r="G215" i="9"/>
  <c r="H215" i="9"/>
  <c r="I215" i="9"/>
  <c r="J215" i="9"/>
  <c r="G216" i="9"/>
  <c r="H216" i="9"/>
  <c r="I216" i="9"/>
  <c r="J216" i="9"/>
  <c r="G217" i="9"/>
  <c r="H217" i="9"/>
  <c r="I217" i="9"/>
  <c r="J217" i="9"/>
  <c r="G218" i="9"/>
  <c r="H218" i="9"/>
  <c r="I218" i="9"/>
  <c r="J218" i="9"/>
  <c r="G219" i="9"/>
  <c r="H219" i="9"/>
  <c r="I219" i="9"/>
  <c r="J219" i="9"/>
  <c r="G220" i="9"/>
  <c r="H220" i="9"/>
  <c r="I220" i="9"/>
  <c r="J220" i="9"/>
  <c r="G221" i="9"/>
  <c r="H221" i="9"/>
  <c r="I221" i="9"/>
  <c r="J221" i="9"/>
  <c r="G222" i="9"/>
  <c r="H222" i="9"/>
  <c r="I222" i="9"/>
  <c r="J222" i="9"/>
  <c r="G223" i="9"/>
  <c r="H223" i="9"/>
  <c r="I223" i="9"/>
  <c r="J223" i="9"/>
  <c r="G224" i="9"/>
  <c r="H224" i="9"/>
  <c r="I224" i="9"/>
  <c r="J224" i="9"/>
  <c r="G225" i="9"/>
  <c r="H225" i="9"/>
  <c r="I225" i="9"/>
  <c r="J225" i="9"/>
  <c r="G226" i="9"/>
  <c r="H226" i="9"/>
  <c r="I226" i="9"/>
  <c r="J226" i="9"/>
  <c r="G227" i="9"/>
  <c r="H227" i="9"/>
  <c r="I227" i="9"/>
  <c r="J227" i="9"/>
  <c r="G228" i="9"/>
  <c r="H228" i="9"/>
  <c r="I228" i="9"/>
  <c r="J228" i="9"/>
  <c r="G229" i="9"/>
  <c r="H229" i="9"/>
  <c r="I229" i="9"/>
  <c r="J229" i="9"/>
  <c r="G230" i="9"/>
  <c r="H230" i="9"/>
  <c r="I230" i="9"/>
  <c r="J230" i="9"/>
  <c r="G231" i="9"/>
  <c r="H231" i="9"/>
  <c r="I231" i="9"/>
  <c r="J231" i="9"/>
  <c r="G232" i="9"/>
  <c r="H232" i="9"/>
  <c r="I232" i="9"/>
  <c r="J232" i="9"/>
  <c r="G233" i="9"/>
  <c r="H233" i="9"/>
  <c r="I233" i="9"/>
  <c r="J233" i="9"/>
  <c r="G234" i="9"/>
  <c r="H234" i="9"/>
  <c r="I234" i="9"/>
  <c r="J234" i="9"/>
  <c r="G235" i="9"/>
  <c r="H235" i="9"/>
  <c r="I235" i="9"/>
  <c r="J235" i="9"/>
  <c r="G236" i="9"/>
  <c r="H236" i="9"/>
  <c r="I236" i="9"/>
  <c r="J236" i="9"/>
  <c r="G237" i="9"/>
  <c r="H237" i="9"/>
  <c r="I237" i="9"/>
  <c r="J237" i="9"/>
  <c r="G238" i="9"/>
  <c r="H238" i="9"/>
  <c r="I238" i="9"/>
  <c r="J238" i="9"/>
  <c r="G239" i="9"/>
  <c r="H239" i="9"/>
  <c r="I239" i="9"/>
  <c r="J239" i="9"/>
  <c r="G240" i="9"/>
  <c r="H240" i="9"/>
  <c r="I240" i="9"/>
  <c r="J240" i="9"/>
  <c r="G241" i="9"/>
  <c r="H241" i="9"/>
  <c r="I241" i="9"/>
  <c r="J241" i="9"/>
  <c r="G242" i="9"/>
  <c r="H242" i="9"/>
  <c r="I242" i="9"/>
  <c r="J242" i="9"/>
  <c r="G243" i="9"/>
  <c r="H243" i="9"/>
  <c r="I243" i="9"/>
  <c r="J243" i="9"/>
  <c r="G244" i="9"/>
  <c r="H244" i="9"/>
  <c r="I244" i="9"/>
  <c r="J244" i="9"/>
  <c r="G245" i="9"/>
  <c r="H245" i="9"/>
  <c r="I245" i="9"/>
  <c r="J245" i="9"/>
  <c r="G246" i="9"/>
  <c r="H246" i="9"/>
  <c r="I246" i="9"/>
  <c r="J246" i="9"/>
  <c r="G247" i="9"/>
  <c r="H247" i="9"/>
  <c r="I247" i="9"/>
  <c r="J247" i="9"/>
  <c r="G248" i="9"/>
  <c r="H248" i="9"/>
  <c r="I248" i="9"/>
  <c r="J248" i="9"/>
  <c r="G249" i="9"/>
  <c r="H249" i="9"/>
  <c r="I249" i="9"/>
  <c r="J249" i="9"/>
  <c r="G250" i="9"/>
  <c r="H250" i="9"/>
  <c r="I250" i="9"/>
  <c r="J250" i="9"/>
  <c r="G251" i="9"/>
  <c r="H251" i="9"/>
  <c r="I251" i="9"/>
  <c r="J251" i="9"/>
  <c r="G252" i="9"/>
  <c r="H252" i="9"/>
  <c r="I252" i="9"/>
  <c r="J252" i="9"/>
  <c r="G253" i="9"/>
  <c r="H253" i="9"/>
  <c r="I253" i="9"/>
  <c r="J253" i="9"/>
  <c r="G254" i="9"/>
  <c r="H254" i="9"/>
  <c r="I254" i="9"/>
  <c r="J254" i="9"/>
  <c r="G255" i="9"/>
  <c r="H255" i="9"/>
  <c r="I255" i="9"/>
  <c r="J255" i="9"/>
  <c r="G256" i="9"/>
  <c r="H256" i="9"/>
  <c r="I256" i="9"/>
  <c r="J256" i="9"/>
  <c r="G257" i="9"/>
  <c r="H257" i="9"/>
  <c r="I257" i="9"/>
  <c r="J257" i="9"/>
  <c r="G258" i="9"/>
  <c r="H258" i="9"/>
  <c r="I258" i="9"/>
  <c r="J258" i="9"/>
  <c r="G259" i="9"/>
  <c r="H259" i="9"/>
  <c r="I259" i="9"/>
  <c r="J259" i="9"/>
  <c r="G260" i="9"/>
  <c r="H260" i="9"/>
  <c r="I260" i="9"/>
  <c r="J260" i="9"/>
  <c r="G261" i="9"/>
  <c r="H261" i="9"/>
  <c r="I261" i="9"/>
  <c r="J261" i="9"/>
  <c r="G262" i="9"/>
  <c r="H262" i="9"/>
  <c r="I262" i="9"/>
  <c r="J262" i="9"/>
  <c r="G263" i="9"/>
  <c r="H263" i="9"/>
  <c r="I263" i="9"/>
  <c r="J263" i="9"/>
  <c r="G264" i="9"/>
  <c r="H264" i="9"/>
  <c r="I264" i="9"/>
  <c r="J264" i="9"/>
  <c r="G265" i="9"/>
  <c r="H265" i="9"/>
  <c r="I265" i="9"/>
  <c r="J265" i="9"/>
  <c r="G266" i="9"/>
  <c r="H266" i="9"/>
  <c r="I266" i="9"/>
  <c r="J266" i="9"/>
  <c r="G267" i="9"/>
  <c r="H267" i="9"/>
  <c r="I267" i="9"/>
  <c r="J267" i="9"/>
  <c r="G268" i="9"/>
  <c r="H268" i="9"/>
  <c r="I268" i="9"/>
  <c r="J268" i="9"/>
  <c r="G269" i="9"/>
  <c r="H269" i="9"/>
  <c r="I269" i="9"/>
  <c r="J269" i="9"/>
  <c r="G270" i="9"/>
  <c r="H270" i="9"/>
  <c r="I270" i="9"/>
  <c r="J270" i="9"/>
  <c r="G271" i="9"/>
  <c r="H271" i="9"/>
  <c r="I271" i="9"/>
  <c r="J271" i="9"/>
  <c r="G272" i="9"/>
  <c r="H272" i="9"/>
  <c r="I272" i="9"/>
  <c r="J272" i="9"/>
  <c r="G273" i="9"/>
  <c r="H273" i="9"/>
  <c r="I273" i="9"/>
  <c r="J273" i="9"/>
  <c r="G274" i="9"/>
  <c r="H274" i="9"/>
  <c r="I274" i="9"/>
  <c r="J274" i="9"/>
  <c r="G275" i="9"/>
  <c r="H275" i="9"/>
  <c r="I275" i="9"/>
  <c r="J275" i="9"/>
  <c r="G276" i="9"/>
  <c r="H276" i="9"/>
  <c r="I276" i="9"/>
  <c r="J276" i="9"/>
  <c r="G277" i="9"/>
  <c r="H277" i="9"/>
  <c r="I277" i="9"/>
  <c r="J277" i="9"/>
  <c r="G278" i="9"/>
  <c r="H278" i="9"/>
  <c r="I278" i="9"/>
  <c r="J278" i="9"/>
  <c r="G279" i="9"/>
  <c r="H279" i="9"/>
  <c r="I279" i="9"/>
  <c r="J279" i="9"/>
  <c r="G280" i="9"/>
  <c r="H280" i="9"/>
  <c r="I280" i="9"/>
  <c r="J280" i="9"/>
  <c r="G281" i="9"/>
  <c r="H281" i="9"/>
  <c r="I281" i="9"/>
  <c r="J281" i="9"/>
  <c r="G282" i="9"/>
  <c r="H282" i="9"/>
  <c r="I282" i="9"/>
  <c r="J282" i="9"/>
  <c r="G283" i="9"/>
  <c r="H283" i="9"/>
  <c r="I283" i="9"/>
  <c r="J283" i="9"/>
  <c r="G284" i="9"/>
  <c r="H284" i="9"/>
  <c r="I284" i="9"/>
  <c r="J284" i="9"/>
  <c r="G285" i="9"/>
  <c r="H285" i="9"/>
  <c r="I285" i="9"/>
  <c r="J285" i="9"/>
  <c r="G286" i="9"/>
  <c r="H286" i="9"/>
  <c r="I286" i="9"/>
  <c r="J286" i="9"/>
  <c r="G287" i="9"/>
  <c r="H287" i="9"/>
  <c r="I287" i="9"/>
  <c r="J287" i="9"/>
  <c r="G288" i="9"/>
  <c r="H288" i="9"/>
  <c r="I288" i="9"/>
  <c r="J288" i="9"/>
  <c r="G289" i="9"/>
  <c r="H289" i="9"/>
  <c r="I289" i="9"/>
  <c r="J289" i="9"/>
  <c r="G290" i="9"/>
  <c r="H290" i="9"/>
  <c r="I290" i="9"/>
  <c r="J290" i="9"/>
  <c r="G291" i="9"/>
  <c r="H291" i="9"/>
  <c r="I291" i="9"/>
  <c r="J291" i="9"/>
  <c r="G292" i="9"/>
  <c r="H292" i="9"/>
  <c r="I292" i="9"/>
  <c r="J292" i="9"/>
  <c r="G293" i="9"/>
  <c r="H293" i="9"/>
  <c r="I293" i="9"/>
  <c r="J293" i="9"/>
  <c r="G294" i="9"/>
  <c r="H294" i="9"/>
  <c r="I294" i="9"/>
  <c r="J294" i="9"/>
  <c r="G295" i="9"/>
  <c r="H295" i="9"/>
  <c r="I295" i="9"/>
  <c r="J295" i="9"/>
  <c r="G296" i="9"/>
  <c r="H296" i="9"/>
  <c r="I296" i="9"/>
  <c r="J296" i="9"/>
  <c r="G297" i="9"/>
  <c r="H297" i="9"/>
  <c r="I297" i="9"/>
  <c r="J297" i="9"/>
  <c r="G298" i="9"/>
  <c r="H298" i="9"/>
  <c r="I298" i="9"/>
  <c r="J298" i="9"/>
  <c r="G299" i="9"/>
  <c r="H299" i="9"/>
  <c r="I299" i="9"/>
  <c r="J299" i="9"/>
  <c r="G300" i="9"/>
  <c r="H300" i="9"/>
  <c r="I300" i="9"/>
  <c r="J300" i="9"/>
  <c r="G301" i="9"/>
  <c r="H301" i="9"/>
  <c r="I301" i="9"/>
  <c r="J301" i="9"/>
  <c r="G302" i="9"/>
  <c r="H302" i="9"/>
  <c r="I302" i="9"/>
  <c r="J302" i="9"/>
  <c r="G303" i="9"/>
  <c r="H303" i="9"/>
  <c r="I303" i="9"/>
  <c r="J303" i="9"/>
  <c r="G304" i="9"/>
  <c r="H304" i="9"/>
  <c r="I304" i="9"/>
  <c r="J304" i="9"/>
  <c r="G305" i="9"/>
  <c r="H305" i="9"/>
  <c r="I305" i="9"/>
  <c r="J305" i="9"/>
  <c r="G306" i="9"/>
  <c r="H306" i="9"/>
  <c r="I306" i="9"/>
  <c r="J306" i="9"/>
  <c r="G307" i="9"/>
  <c r="H307" i="9"/>
  <c r="I307" i="9"/>
  <c r="J307" i="9"/>
  <c r="G308" i="9"/>
  <c r="H308" i="9"/>
  <c r="I308" i="9"/>
  <c r="J308" i="9"/>
  <c r="G309" i="9"/>
  <c r="H309" i="9"/>
  <c r="I309" i="9"/>
  <c r="J309" i="9"/>
  <c r="G310" i="9"/>
  <c r="H310" i="9"/>
  <c r="I310" i="9"/>
  <c r="J310" i="9"/>
  <c r="G311" i="9"/>
  <c r="H311" i="9"/>
  <c r="I311" i="9"/>
  <c r="J311" i="9"/>
  <c r="G312" i="9"/>
  <c r="H312" i="9"/>
  <c r="I312" i="9"/>
  <c r="J312" i="9"/>
  <c r="G313" i="9"/>
  <c r="H313" i="9"/>
  <c r="I313" i="9"/>
  <c r="J313" i="9"/>
  <c r="G314" i="9"/>
  <c r="H314" i="9"/>
  <c r="I314" i="9"/>
  <c r="J314" i="9"/>
  <c r="G315" i="9"/>
  <c r="H315" i="9"/>
  <c r="I315" i="9"/>
  <c r="J315" i="9"/>
  <c r="G316" i="9"/>
  <c r="H316" i="9"/>
  <c r="I316" i="9"/>
  <c r="J316" i="9"/>
  <c r="G317" i="9"/>
  <c r="H317" i="9"/>
  <c r="I317" i="9"/>
  <c r="J317" i="9"/>
  <c r="G318" i="9"/>
  <c r="H318" i="9"/>
  <c r="I318" i="9"/>
  <c r="J318" i="9"/>
  <c r="G319" i="9"/>
  <c r="H319" i="9"/>
  <c r="I319" i="9"/>
  <c r="J319" i="9"/>
  <c r="G320" i="9"/>
  <c r="H320" i="9"/>
  <c r="I320" i="9"/>
  <c r="J320" i="9"/>
  <c r="G321" i="9"/>
  <c r="H321" i="9"/>
  <c r="I321" i="9"/>
  <c r="J321" i="9"/>
  <c r="G322" i="9"/>
  <c r="H322" i="9"/>
  <c r="I322" i="9"/>
  <c r="J322" i="9"/>
  <c r="G323" i="9"/>
  <c r="H323" i="9"/>
  <c r="I323" i="9"/>
  <c r="J323" i="9"/>
  <c r="G324" i="9"/>
  <c r="H324" i="9"/>
  <c r="I324" i="9"/>
  <c r="J324" i="9"/>
  <c r="G325" i="9"/>
  <c r="H325" i="9"/>
  <c r="I325" i="9"/>
  <c r="J325" i="9"/>
  <c r="G326" i="9"/>
  <c r="H326" i="9"/>
  <c r="I326" i="9"/>
  <c r="J326" i="9"/>
  <c r="G327" i="9"/>
  <c r="H327" i="9"/>
  <c r="I327" i="9"/>
  <c r="J327" i="9"/>
  <c r="G328" i="9"/>
  <c r="H328" i="9"/>
  <c r="I328" i="9"/>
  <c r="J328" i="9"/>
  <c r="G329" i="9"/>
  <c r="H329" i="9"/>
  <c r="I329" i="9"/>
  <c r="G330" i="9"/>
  <c r="H330" i="9"/>
  <c r="I330" i="9"/>
  <c r="G331" i="9"/>
  <c r="H331" i="9"/>
  <c r="I331" i="9"/>
  <c r="G332" i="9"/>
  <c r="H332" i="9"/>
  <c r="I332" i="9"/>
  <c r="H333" i="9"/>
  <c r="I333" i="9"/>
  <c r="H334" i="9"/>
  <c r="H335" i="9"/>
  <c r="H336" i="9"/>
  <c r="J2" i="9" l="1"/>
  <c r="I2" i="9"/>
  <c r="H2" i="9"/>
</calcChain>
</file>

<file path=xl/sharedStrings.xml><?xml version="1.0" encoding="utf-8"?>
<sst xmlns="http://schemas.openxmlformats.org/spreadsheetml/2006/main" count="2807" uniqueCount="1031">
  <si>
    <t>ID</t>
  </si>
  <si>
    <t>Temporada</t>
  </si>
  <si>
    <t>Comuna</t>
  </si>
  <si>
    <t>N°  regional Incendio</t>
  </si>
  <si>
    <t>Nombre incendio</t>
  </si>
  <si>
    <t>Código causa Investigada</t>
  </si>
  <si>
    <t>Nombre causa específica</t>
  </si>
  <si>
    <t>Codigo causa general</t>
  </si>
  <si>
    <t>Causa General</t>
  </si>
  <si>
    <t>Grupo de causas</t>
  </si>
  <si>
    <t>Sup</t>
  </si>
  <si>
    <t>Mes investigación</t>
  </si>
  <si>
    <t>Maule</t>
  </si>
  <si>
    <t>4.1.6</t>
  </si>
  <si>
    <t>4.8.1</t>
  </si>
  <si>
    <t>Chanco</t>
  </si>
  <si>
    <t>4.1.1</t>
  </si>
  <si>
    <t>2.1</t>
  </si>
  <si>
    <t>4.1</t>
  </si>
  <si>
    <t>4.8</t>
  </si>
  <si>
    <t>4.11.3</t>
  </si>
  <si>
    <t>4.6.5</t>
  </si>
  <si>
    <t>4.2</t>
  </si>
  <si>
    <t>4.11.2</t>
  </si>
  <si>
    <t>5.1</t>
  </si>
  <si>
    <t>4.8.2</t>
  </si>
  <si>
    <t>4.6</t>
  </si>
  <si>
    <t>Constitución</t>
  </si>
  <si>
    <t>4.1.8</t>
  </si>
  <si>
    <t>Código especifico</t>
  </si>
  <si>
    <t>Causa</t>
  </si>
  <si>
    <t>Código general</t>
  </si>
  <si>
    <t>Causa general</t>
  </si>
  <si>
    <t>Grupo de causa</t>
  </si>
  <si>
    <t>1.1.1</t>
  </si>
  <si>
    <t>Quema avisada de desechos forestales que se propaga libre y sin control</t>
  </si>
  <si>
    <t>1.1</t>
  </si>
  <si>
    <t>Faenas forestales</t>
  </si>
  <si>
    <t>Accidentales</t>
  </si>
  <si>
    <t>1.1.2</t>
  </si>
  <si>
    <t>Partículas incandescentes generadas por roce de maquinaria o herramienta forestal con rocas, cercos o material metálico</t>
  </si>
  <si>
    <t>1.1.3</t>
  </si>
  <si>
    <t>Otros incendios accidentales no clasificados en faenas forestales</t>
  </si>
  <si>
    <t>1.2.1</t>
  </si>
  <si>
    <t>Quema avisada de desechos agrícolas  que se propaga libre y sin control</t>
  </si>
  <si>
    <t>1.2</t>
  </si>
  <si>
    <t>Faenas agrícolas y pecuarias</t>
  </si>
  <si>
    <t>1.2.2</t>
  </si>
  <si>
    <t>Partículas incandescentes  generadas por roce de maquinaria o herramienta agrícola con rocas, cercos o material metálico</t>
  </si>
  <si>
    <t>1.2.3</t>
  </si>
  <si>
    <t>Otros incendios accidentales no clasificados en faenas agropecuarias</t>
  </si>
  <si>
    <t>1.3.1</t>
  </si>
  <si>
    <t>Empleo de fuentes de calor en áreas habilitadas, como fogatas, cocinillas u otro elemento para cocinar, calefacción, iluminación u otros fines</t>
  </si>
  <si>
    <t>1.3</t>
  </si>
  <si>
    <t>Actividades al aire libre (camping, excursiones, caza, pesca, otros)</t>
  </si>
  <si>
    <t>1.4.1</t>
  </si>
  <si>
    <t>Accidente ferroviario</t>
  </si>
  <si>
    <t>1.4</t>
  </si>
  <si>
    <t>Vías férreas</t>
  </si>
  <si>
    <t>1.4.2</t>
  </si>
  <si>
    <t>Partículas incandescentes generadas por el paso del ferrocarril (con mantención de fajas de seguridad)</t>
  </si>
  <si>
    <t>1.5.1</t>
  </si>
  <si>
    <t>Caída de avión, helicóptero u otras aeronaves, en operaciones de combate de incendios forestales o reconocimientos de zonas</t>
  </si>
  <si>
    <t>1.5</t>
  </si>
  <si>
    <t>Actividades de control y extinción de incendios forestales</t>
  </si>
  <si>
    <t>1.6.1</t>
  </si>
  <si>
    <t>Incendio estructural</t>
  </si>
  <si>
    <t>1.6</t>
  </si>
  <si>
    <t>Parcelaciones, edificaciones residenciales, industriales u otras en zonas rurales o de interfaz</t>
  </si>
  <si>
    <t>1.7.1</t>
  </si>
  <si>
    <t>Accidente o incendio de vehículo</t>
  </si>
  <si>
    <t>1.7</t>
  </si>
  <si>
    <t>Originados por desplazamiento de personas, vehículos o aeronaves</t>
  </si>
  <si>
    <t>1.7.2</t>
  </si>
  <si>
    <t>Caída de avión, helicóptero u otras aeronaves en actividades u operaciones, distintas de incendios forestales</t>
  </si>
  <si>
    <t>1.7.3</t>
  </si>
  <si>
    <t>Generado por vehículo  (roce metálico, tubo de escape, desperfecto, otros)</t>
  </si>
  <si>
    <t>1.8.1</t>
  </si>
  <si>
    <t>Quema avisada con fines de limpieza en canales, cunetas, cercos o caminos (en predios particulares o públicos) que se propaga libre y sin control</t>
  </si>
  <si>
    <t>1.8</t>
  </si>
  <si>
    <t>Otras quemas</t>
  </si>
  <si>
    <t>1.9.1</t>
  </si>
  <si>
    <t>Contacto de fauna con el tendido eléctrico</t>
  </si>
  <si>
    <t>1.9</t>
  </si>
  <si>
    <t>Líneas eléctricas</t>
  </si>
  <si>
    <t>1.9.2</t>
  </si>
  <si>
    <t>Contacto de material vegetal (ej. Corteza de eucalipto) o no vegetal (ej. Pizarreños), desprendido y desplazado por acción del viento, con el tendido eléctrico</t>
  </si>
  <si>
    <t>1.9.3</t>
  </si>
  <si>
    <t>Otro accidente eléctrico no clasificado</t>
  </si>
  <si>
    <t>1.10.1</t>
  </si>
  <si>
    <t>Otras causas accidentales no clasificadas</t>
  </si>
  <si>
    <t>1.10</t>
  </si>
  <si>
    <t>Otras causas</t>
  </si>
  <si>
    <t>2.1.1</t>
  </si>
  <si>
    <t>Incendios intencionales</t>
  </si>
  <si>
    <t>Intencionales</t>
  </si>
  <si>
    <t>2.1.2</t>
  </si>
  <si>
    <t>2.1.3</t>
  </si>
  <si>
    <t>Ataque incendiario (ataques dirigidos a bienes muebles o inmuebles)</t>
  </si>
  <si>
    <t>2.1.4</t>
  </si>
  <si>
    <t>Conflicto territorial o patrimonial (deslindes, propiedades, apropiaciones de terreno, otros)</t>
  </si>
  <si>
    <t>2.1.5</t>
  </si>
  <si>
    <t>Obtención beneficios económicos (compra de madera, presión por trabajo, robo  maderero, otros)</t>
  </si>
  <si>
    <t>2.1.6</t>
  </si>
  <si>
    <t>Para observar operaciones de combate de incendios forestales</t>
  </si>
  <si>
    <t>2.1.7</t>
  </si>
  <si>
    <t>Encubrimiento de delitos o faltas</t>
  </si>
  <si>
    <t>2.1.8</t>
  </si>
  <si>
    <t>Extracción o producción de hongos o frutos</t>
  </si>
  <si>
    <t>2.1.9</t>
  </si>
  <si>
    <t>Cambio irregular de uso de suelo (habitacional, parcelaciones, agrícola, recreacional, otros)</t>
  </si>
  <si>
    <t>3.1.1</t>
  </si>
  <si>
    <t>Caída de rayo</t>
  </si>
  <si>
    <t>3.1</t>
  </si>
  <si>
    <t>Incendios naturales</t>
  </si>
  <si>
    <t>Naturales</t>
  </si>
  <si>
    <t>3.1.2</t>
  </si>
  <si>
    <t>Actividad volcánica</t>
  </si>
  <si>
    <t>3.1.3</t>
  </si>
  <si>
    <t>Otras causas naturales no clasificadas</t>
  </si>
  <si>
    <t>Quema no avisada de desechos forestales que se propaga libre y sin control</t>
  </si>
  <si>
    <t>Negligentes</t>
  </si>
  <si>
    <t>4.1.2</t>
  </si>
  <si>
    <t>Incendio de maquinaria en faena forestal (desperfecto, falta de mantención, otros)</t>
  </si>
  <si>
    <t>4.1.3</t>
  </si>
  <si>
    <t>Contacto o corte de conductor eléctrico producto de faena forestal</t>
  </si>
  <si>
    <t>4.1.4</t>
  </si>
  <si>
    <t>Partícula incandescente generada sin roce por vehículo, maquinaria o herramienta forestal</t>
  </si>
  <si>
    <t>4.1.5</t>
  </si>
  <si>
    <t>Rebrote de quema forestal no avisada que  se propaga libre y sin control</t>
  </si>
  <si>
    <t>Quema avisada de desechos forestales mal ejecutada que se propaga libre y sin control (plan de quemas, aviso de quemas)</t>
  </si>
  <si>
    <t>4.1.7</t>
  </si>
  <si>
    <t>Empleo de fuentes de calor en zonas de faenas/campamentos forestales</t>
  </si>
  <si>
    <t>Otras causas negligentes no clasificadas en faenas forestales</t>
  </si>
  <si>
    <t>4.2.1</t>
  </si>
  <si>
    <t>Quema no avisada de desechos agrícolas que se propaga libre y sin control</t>
  </si>
  <si>
    <t>4.2.2</t>
  </si>
  <si>
    <t>Incendio de maquinaria agrícola (desperfecto, falta de mantención, otros)</t>
  </si>
  <si>
    <t>4.2.3</t>
  </si>
  <si>
    <t>Contacto o corte de conductor eléctrico producto de faena agrícola o pecuaria</t>
  </si>
  <si>
    <t>4.2.4</t>
  </si>
  <si>
    <t>Partícula incandescente generada sin roce por vehículo, maquinaria o herramienta agrícola</t>
  </si>
  <si>
    <t>4.2.5</t>
  </si>
  <si>
    <t>Rebrote de quema agrícola o pecuaria no avisada que se propaga libre y sin control</t>
  </si>
  <si>
    <t>4.2.6</t>
  </si>
  <si>
    <t>Quema avisada de desechos agrícolas  mal ejecutada que se propaga libre y sin control (según plan de quema y/o aviso de quemas)</t>
  </si>
  <si>
    <t>4.2.7</t>
  </si>
  <si>
    <t>Empleo de fuentes de calor en zonas de faenas agropecuarias</t>
  </si>
  <si>
    <t>4.2.8</t>
  </si>
  <si>
    <t>Otras causas negligentes no clasificadas en faenas agrícolas y pecuarias</t>
  </si>
  <si>
    <t>4.3.1</t>
  </si>
  <si>
    <t>Empleo de fuentes de calor en áreas no habilitadas, como fogatas para cocinar, cocinillas, calefacción, elementos para iluminar u otros.</t>
  </si>
  <si>
    <t>4.3</t>
  </si>
  <si>
    <t>4.4.1</t>
  </si>
  <si>
    <t>Partículas  incandescentes generadas por el paso del ferrocarril (sin mantención de fajas de seguridad)</t>
  </si>
  <si>
    <t>4.4</t>
  </si>
  <si>
    <t>4.4.2</t>
  </si>
  <si>
    <t>Empleo de fuentes de calor en faena de mantención o reparación de líneas férreas</t>
  </si>
  <si>
    <t>4.4.3</t>
  </si>
  <si>
    <t>Contacto  o corte del conductor eléctrico de línea férrea</t>
  </si>
  <si>
    <t>4.5.1</t>
  </si>
  <si>
    <t>Rebrote de incendio anterior, declarado extinto</t>
  </si>
  <si>
    <t>4.5</t>
  </si>
  <si>
    <t>4.5.2</t>
  </si>
  <si>
    <t>Generado por el uso de equipos o herramientas en actividades de control y/o extinción</t>
  </si>
  <si>
    <t>4.6.1</t>
  </si>
  <si>
    <t>Generado por el uso de equipos o herramientas con fines de construcción, limpieza o montaje de estructuras</t>
  </si>
  <si>
    <t>4.6.2</t>
  </si>
  <si>
    <t>Generado por conexión  irregular de energía eléctrica</t>
  </si>
  <si>
    <t>4.6.3</t>
  </si>
  <si>
    <t>Generado por infraestructura destinada a la producción de energía  (solar, eólica, otros)</t>
  </si>
  <si>
    <t>4.6.4</t>
  </si>
  <si>
    <t>Generado por material en combustión expulsado desde chimeneas, cocina a leña, otros (mantención)</t>
  </si>
  <si>
    <t>Empleo de fuentes de calor en actividades relacionadas a parcelaciones (asados, tijerales, fogatas, otros)</t>
  </si>
  <si>
    <t>4.6.6</t>
  </si>
  <si>
    <t>Desecho de  cenizas de chimenea, calefacción, cocina leña, tinajas, otros</t>
  </si>
  <si>
    <t>4.7.1</t>
  </si>
  <si>
    <t>Empleo de fuentes de calor en actividades religiosas, de peregrinación o de veneración</t>
  </si>
  <si>
    <t>4.7</t>
  </si>
  <si>
    <t>4.7.2</t>
  </si>
  <si>
    <t>Empleo de fuentes de calor para señalización en la ruta o faenas de mantención (campamentos de empresas de mantención, otras)</t>
  </si>
  <si>
    <t>Quema no avisada con fines de limpieza en canales, cunetas, cercos o caminos (en predios particulares o públicos) que se propaga libre y sin control</t>
  </si>
  <si>
    <t>Quema de basura residencial o desechos vegetales</t>
  </si>
  <si>
    <t>4.8.3</t>
  </si>
  <si>
    <t>Quema de desechos industriales</t>
  </si>
  <si>
    <t>4.8.4</t>
  </si>
  <si>
    <t>Empleo de fuentes de calor para eliminación de fauna  (roedores, reptiles, avispas, otros)</t>
  </si>
  <si>
    <t>4.8.5</t>
  </si>
  <si>
    <t>Empleo de fuentes de calor en vertederos o basurales</t>
  </si>
  <si>
    <t>4.9.1</t>
  </si>
  <si>
    <t>Combustión de la vegetación, producto del contacto o proximidad con el tendido eléctrico</t>
  </si>
  <si>
    <t>4.9</t>
  </si>
  <si>
    <t>4.9.2</t>
  </si>
  <si>
    <t>Corte de conductor eléctrico por caída de rama o árbol (excepto por faena forestal o agrícola)</t>
  </si>
  <si>
    <t>4.9.3</t>
  </si>
  <si>
    <t>Corte de conductor eléctrico por caída o fatiga de estructura de tendido eléctrico o postación</t>
  </si>
  <si>
    <t>4.9.4</t>
  </si>
  <si>
    <t>Sobrecalentamiento de estructuras asociados al sistema eléctrico (poste, transformador, uniones, aisladores, otros)</t>
  </si>
  <si>
    <t>4.9.5</t>
  </si>
  <si>
    <t>Otras causas eléctricas negligentes no  clasificadas</t>
  </si>
  <si>
    <t>4.10.1</t>
  </si>
  <si>
    <t>Maniobras militares o policiales</t>
  </si>
  <si>
    <t>4.10</t>
  </si>
  <si>
    <t>4.10.2</t>
  </si>
  <si>
    <t>Faenas mineras</t>
  </si>
  <si>
    <t>4.10.3</t>
  </si>
  <si>
    <t>Explosiones</t>
  </si>
  <si>
    <t>4.10.4</t>
  </si>
  <si>
    <t>Acciones asociadas a fumar</t>
  </si>
  <si>
    <t>4.10.5</t>
  </si>
  <si>
    <t>Empleo de fuentes de calor por menores de edad</t>
  </si>
  <si>
    <t>4.10.6</t>
  </si>
  <si>
    <t>Fuegos artificiales, bengalas, otros artefactos pirotécnicos o globos aerostáticos</t>
  </si>
  <si>
    <t>4.10.7</t>
  </si>
  <si>
    <t>Elaboración y/o cocción de ladrillos</t>
  </si>
  <si>
    <t>4.10.8</t>
  </si>
  <si>
    <t>Ignición por combustión espontánea en combustibles orgánicos  (fardos de pastos, acopios de aserrín o chips de madera)</t>
  </si>
  <si>
    <t>4.10.9</t>
  </si>
  <si>
    <t>Ignición por combustión espontánea en vertederos sin tratamientos y sin reciclaje</t>
  </si>
  <si>
    <t>4.10.10</t>
  </si>
  <si>
    <t>Empleo de fuentes de calor para eliminar recubrimiento de  conductores eléctricos</t>
  </si>
  <si>
    <t>4.10.11</t>
  </si>
  <si>
    <t>Empleo de fuentes de calor por personas en situación de calle</t>
  </si>
  <si>
    <t>4.10.12</t>
  </si>
  <si>
    <t>Otras actividades negligentes no clasificadas</t>
  </si>
  <si>
    <t>4.11.1</t>
  </si>
  <si>
    <t>Elaboración de carbón</t>
  </si>
  <si>
    <t>4.11</t>
  </si>
  <si>
    <t>Producción y/o extracción de productos y/o derivados del bosque</t>
  </si>
  <si>
    <t>Empleo de fuentes de calor en faenas de extracción de productos del bosque (hongos, frutos, otros), como fogatas para cocinar, calefacción, elementos para iluminar u otros.</t>
  </si>
  <si>
    <t>Empleo de fuentes de calor en faena de extracción y/o confección de leña no industrial</t>
  </si>
  <si>
    <t>4.11.4</t>
  </si>
  <si>
    <t>Empleo de fuentes de calor en actividades de apicultura</t>
  </si>
  <si>
    <t>5.1.1</t>
  </si>
  <si>
    <t>Se investiga pero no es posible establecer la causa</t>
  </si>
  <si>
    <t>Incendios de causa indeterminada</t>
  </si>
  <si>
    <t>Indeterminadas</t>
  </si>
  <si>
    <t>5.1.2</t>
  </si>
  <si>
    <t>La causa no es investigada</t>
  </si>
  <si>
    <t>Provocado, no se identifica la motivación</t>
  </si>
  <si>
    <t>Provocado por conflicto entre personas (venganza, familiares, pasionales, otros)</t>
  </si>
  <si>
    <t>Cauquenes</t>
  </si>
  <si>
    <t>Talca</t>
  </si>
  <si>
    <t>Provincia</t>
  </si>
  <si>
    <t>Nombre informe</t>
  </si>
  <si>
    <t>Pencahue</t>
  </si>
  <si>
    <t>Molina</t>
  </si>
  <si>
    <t>Longaví</t>
  </si>
  <si>
    <t>Linares</t>
  </si>
  <si>
    <t>San Clemente</t>
  </si>
  <si>
    <t>INICIO INCENDIO</t>
  </si>
  <si>
    <t>Hualañé</t>
  </si>
  <si>
    <t>Sagrada Familia</t>
  </si>
  <si>
    <t>Curicó</t>
  </si>
  <si>
    <t>San Javier</t>
  </si>
  <si>
    <t>Pelarco</t>
  </si>
  <si>
    <t>Río Claro</t>
  </si>
  <si>
    <t>San Rafael</t>
  </si>
  <si>
    <t>Retiro</t>
  </si>
  <si>
    <t>Pelluhue</t>
  </si>
  <si>
    <t>Romeral</t>
  </si>
  <si>
    <t>X</t>
  </si>
  <si>
    <t>Y</t>
  </si>
  <si>
    <t>Rauco</t>
  </si>
  <si>
    <t>Vichuquén</t>
  </si>
  <si>
    <t>Yerbas Buenas</t>
  </si>
  <si>
    <t>Curepto</t>
  </si>
  <si>
    <t>Coordenada X</t>
  </si>
  <si>
    <t>Coordenada Y</t>
  </si>
  <si>
    <t>Teno</t>
  </si>
  <si>
    <t>Licantén</t>
  </si>
  <si>
    <t>Parral</t>
  </si>
  <si>
    <t>Villa Alegre</t>
  </si>
  <si>
    <t>MES1</t>
  </si>
  <si>
    <t>MES2</t>
  </si>
  <si>
    <t>Flor del Llano</t>
  </si>
  <si>
    <t>Septiembre</t>
  </si>
  <si>
    <t>ITA_N-1_R20-FLOR DEL LLANO_NR-5</t>
  </si>
  <si>
    <t>Canelillos</t>
  </si>
  <si>
    <t>ITA_N-2_R20-CANELILLOS_NR-6</t>
  </si>
  <si>
    <t>San Pablo</t>
  </si>
  <si>
    <t>ITA_N-3_R20-SAN PABLO_NR-7</t>
  </si>
  <si>
    <t>Santa Patricia</t>
  </si>
  <si>
    <t>Octubre</t>
  </si>
  <si>
    <t>ITA_N-4_R20-SANTA PATRICIA_NR-9</t>
  </si>
  <si>
    <t>Palmira</t>
  </si>
  <si>
    <t>ITA_N-5_R20-PALMIRA_NR-11</t>
  </si>
  <si>
    <t>Rincón de San Carlos</t>
  </si>
  <si>
    <t>ITA_N-6_R20-RINCON DE SAN CARLOS_NR-14</t>
  </si>
  <si>
    <t>La Isla</t>
  </si>
  <si>
    <t>ITA_N-7_R20-LA ISLA_NR-19</t>
  </si>
  <si>
    <t>Huaquen</t>
  </si>
  <si>
    <t>ITA_N-8_R20-HUAQUEN_NR-20</t>
  </si>
  <si>
    <t>Tabolguen</t>
  </si>
  <si>
    <t>ITA_N-9_R20-TABOLGUEN_NR-23</t>
  </si>
  <si>
    <t>Chovellen</t>
  </si>
  <si>
    <t>ITA_N-10_R20-CHOVELLEN_NR-21</t>
  </si>
  <si>
    <t>Coironal</t>
  </si>
  <si>
    <t>ITA_N-11_R20-COIRONAL_NR-33</t>
  </si>
  <si>
    <t>Camino a la quinta</t>
  </si>
  <si>
    <t>ITA_N-12_R20-CAMINO A LA QUINTA_NR-37</t>
  </si>
  <si>
    <t>Guiaco 3</t>
  </si>
  <si>
    <t>ITA_N-13_R20-GUAICO 3_NR-28</t>
  </si>
  <si>
    <t>Tres Esquinas</t>
  </si>
  <si>
    <t>ITA_N-14_R20-TRES ESQUINAS_NR-42</t>
  </si>
  <si>
    <t>Callejón San Luis</t>
  </si>
  <si>
    <t>Noviembre</t>
  </si>
  <si>
    <t>ITA_N-15_R20-CALLEJÓN SAN LUIS_NR-34</t>
  </si>
  <si>
    <t>Santa Teresa</t>
  </si>
  <si>
    <t>ITA_N-16_R20-SANTA TERESA_NR-44</t>
  </si>
  <si>
    <t>Los Maquis</t>
  </si>
  <si>
    <t>ITA_N-17_R20-LOS MAQUIS_NR-45</t>
  </si>
  <si>
    <t>El Alamo 3</t>
  </si>
  <si>
    <t>ITA_N-18_R20-EL ALAMO 3_NR-55</t>
  </si>
  <si>
    <t>San Isidro</t>
  </si>
  <si>
    <t>ITA_N-19_R20-SAN ISIDRO_NR-46</t>
  </si>
  <si>
    <t>Llano las Piedras</t>
  </si>
  <si>
    <t>ITA_N-20_R20-LLANO LAS PIEDRAS_NR-57</t>
  </si>
  <si>
    <t>San Francisco</t>
  </si>
  <si>
    <t>ITA_N-21_R20-SAN FRANCISCO_NR-38</t>
  </si>
  <si>
    <t>Las Gredas</t>
  </si>
  <si>
    <t>ITA_N-22_R20-LAS GREDAS_NR-30</t>
  </si>
  <si>
    <t>Santa Lucila</t>
  </si>
  <si>
    <t>ITA_N-23_R20-SANTA LUCILA_NR-61</t>
  </si>
  <si>
    <t xml:space="preserve">El Descanso </t>
  </si>
  <si>
    <t>ITA_N-24_R20-EL DESCANSO_NR-47</t>
  </si>
  <si>
    <t>San Adolfo</t>
  </si>
  <si>
    <t>ITA_N-25_R20-SAN ADOLFO_NR-62</t>
  </si>
  <si>
    <t>San Cayetano</t>
  </si>
  <si>
    <t>ITA_N-26_R20-SAN CAYETANO_NR-48</t>
  </si>
  <si>
    <t>Lomas de San Francisco</t>
  </si>
  <si>
    <t>ITA_N-27_R20-LOMAS DE SAN FRANCISCO_NR-59</t>
  </si>
  <si>
    <t>Santa Raquel</t>
  </si>
  <si>
    <t>ITA_N-28_R20-SANTA RAQUEL_NR-36</t>
  </si>
  <si>
    <t>Chacarillas</t>
  </si>
  <si>
    <t>ITA_N-29_R20-CHACARILLAS_NR-68</t>
  </si>
  <si>
    <t>Puente Maule</t>
  </si>
  <si>
    <t>ITA_N-30_R20-PUENTE MAULE_NR-64</t>
  </si>
  <si>
    <t>La Tercera</t>
  </si>
  <si>
    <t>ITA_N-31_R20-LA TERCERA_NR-74</t>
  </si>
  <si>
    <t>La Obra- La Higuera</t>
  </si>
  <si>
    <t>ITA_N-32_R20-LA OBRA- LA HIGUERA_NR-41</t>
  </si>
  <si>
    <t>Capellanía</t>
  </si>
  <si>
    <t>ITA_N-33_R20-CAPELLANIA_NR-60</t>
  </si>
  <si>
    <t>El Tabaco</t>
  </si>
  <si>
    <t>ITA_N-34_R20-EL TABACO_NR-76</t>
  </si>
  <si>
    <t>Rinconada</t>
  </si>
  <si>
    <t>ITA_N-35_R20-RINCONADA_NR-52</t>
  </si>
  <si>
    <t>Barranquilla</t>
  </si>
  <si>
    <t>ITA_N-36_R20-BARRANQUILLA_NR-15</t>
  </si>
  <si>
    <t>Alto Pangue</t>
  </si>
  <si>
    <t>ITA_N-37_R20-ALTO PANGUE_NR-88</t>
  </si>
  <si>
    <t>Santa Elena</t>
  </si>
  <si>
    <t>ITA_N-38_R20-SANTA ELENA_NR-89</t>
  </si>
  <si>
    <t>La Leonera</t>
  </si>
  <si>
    <t>ITA_N-39_R20-LA LEONERA_NR-97</t>
  </si>
  <si>
    <t>Vista Hermosa</t>
  </si>
  <si>
    <t>ITA_N-40_R20-VISTA HERMOSA_NR-93</t>
  </si>
  <si>
    <t>ITA_N-41_R20-SAN EDUARDO 2_NR-94</t>
  </si>
  <si>
    <t>ITA_N-42_R20-EL AJIAL_NR-98</t>
  </si>
  <si>
    <t>Cerro Santa Rosa</t>
  </si>
  <si>
    <t>ITA_N-43_R20-CERRO SANTA ROSA_NR-92</t>
  </si>
  <si>
    <t>ITA_N-44_R20-SAN SEBASTIAN_NR-110</t>
  </si>
  <si>
    <t>San Jorge</t>
  </si>
  <si>
    <t>ITA_N-45_R20-SAN JORGE_NR-110</t>
  </si>
  <si>
    <t>El Castillo 2</t>
  </si>
  <si>
    <t>ITA_N-46_R20-EL CASTILLO 2_NR-90</t>
  </si>
  <si>
    <t>Santa Inés</t>
  </si>
  <si>
    <t>ITA_N-47_R20-SANTA INES_NR-104</t>
  </si>
  <si>
    <t>Lo María</t>
  </si>
  <si>
    <t>ITA_N-48_R20-LO MARIA_NR-108</t>
  </si>
  <si>
    <t>ITA_N-49_R20-CAPELLANIA_NR-105</t>
  </si>
  <si>
    <t>Villena</t>
  </si>
  <si>
    <t>ITA_N-50_R20-VILLENA_NR-127</t>
  </si>
  <si>
    <t>94- San Eduardo 2</t>
  </si>
  <si>
    <t>97- El Ajial</t>
  </si>
  <si>
    <t xml:space="preserve">San Sebastian </t>
  </si>
  <si>
    <t>Los Acacios</t>
  </si>
  <si>
    <t>Diciembre</t>
  </si>
  <si>
    <t>ITA_N-51_R20-LOS ACACIOS_NR-113</t>
  </si>
  <si>
    <t>Guapi</t>
  </si>
  <si>
    <t>ITA_N-52_R20-GUAPI_NR-121</t>
  </si>
  <si>
    <t>Odessa</t>
  </si>
  <si>
    <t>ITA_N-53_R20-ODESSA_NR-149</t>
  </si>
  <si>
    <t>Orilla de Maule</t>
  </si>
  <si>
    <t>ITA_N-54_R20-ORILLA DE MAULE_NR-155</t>
  </si>
  <si>
    <t>María Teresa</t>
  </si>
  <si>
    <t>ITA_N-55_R20-MARIA TERESA_NR-125</t>
  </si>
  <si>
    <t>Rosas Olea</t>
  </si>
  <si>
    <t>ITA_N-56_R20-ROSAS OLEA_NR-173</t>
  </si>
  <si>
    <t>San Ignacio</t>
  </si>
  <si>
    <t>ITA_N-57_R20-SAN IGNACIO_NR-153</t>
  </si>
  <si>
    <t>ITA_N-58_R20-SANTA RAQUEL_NR-158</t>
  </si>
  <si>
    <t>Maquehua</t>
  </si>
  <si>
    <t>ITA_N-59_R20-MAQUEHUA_NR-176</t>
  </si>
  <si>
    <t>San Camilo</t>
  </si>
  <si>
    <t>ITA_N-60_R20-SAN CAMILO_NR-192</t>
  </si>
  <si>
    <t>San Manuel</t>
  </si>
  <si>
    <t>ITA_N-61_R20-SAN MANUEL_NR-216</t>
  </si>
  <si>
    <t>Culenar viejo</t>
  </si>
  <si>
    <t>ITA_N-62_R20-CULENAR VIEJO_NR-204</t>
  </si>
  <si>
    <t>San Antonio</t>
  </si>
  <si>
    <t>ITA_N-63_R20-SAN ANTONIO_NR-208</t>
  </si>
  <si>
    <t>Lomas de las Tortillas 2</t>
  </si>
  <si>
    <t>ITA_N-64_R20-LOMAS DE LAS TORTILLAS 2_NR-219</t>
  </si>
  <si>
    <t>Cuñao</t>
  </si>
  <si>
    <t>ITA_N-65_R20-CUÑAO_NR-225</t>
  </si>
  <si>
    <t>Comavida</t>
  </si>
  <si>
    <t>ITA_N-66_R20-COMAVIDA_NR-229</t>
  </si>
  <si>
    <t>Pozo de oro</t>
  </si>
  <si>
    <t>ITA_N-67_R20-POZO DE ORO_NR-223</t>
  </si>
  <si>
    <t>El Olivar</t>
  </si>
  <si>
    <t>ITA_N-68_R20-EL OLIVAR_NR-239</t>
  </si>
  <si>
    <t>Barros Negros</t>
  </si>
  <si>
    <t>ITA_N-69_R20-BARROS NEGROS_NR-231</t>
  </si>
  <si>
    <t>Santa Rebeca</t>
  </si>
  <si>
    <t>ITA_N-70_R20-SANTA REBECA_NR-184</t>
  </si>
  <si>
    <t>Pichingal</t>
  </si>
  <si>
    <t>ITA_N-71_R20-PICHINGAL_NR-183</t>
  </si>
  <si>
    <t>ITA_N-72_R20-BAJOS DE LIRCAY_NR-257</t>
  </si>
  <si>
    <t>Pangue abajo</t>
  </si>
  <si>
    <t>ITA_N-73_R20-PANGUE ABAJO_NR-227</t>
  </si>
  <si>
    <t>Cerro Maule</t>
  </si>
  <si>
    <t>ITA_N-74_R20-CERRO MAULE_NR-267</t>
  </si>
  <si>
    <t>Linares de Perales</t>
  </si>
  <si>
    <t>ITA_N-75_R20-LINARES DE PERALES_NR-280</t>
  </si>
  <si>
    <t>Chacarillas 2</t>
  </si>
  <si>
    <t>Enero</t>
  </si>
  <si>
    <t>ITA_N-76_R20-CHACARILLAS 2_NR-269</t>
  </si>
  <si>
    <t>Bajos de lircay 2</t>
  </si>
  <si>
    <t>ITA_N-77_R20-BAJOS DE LIRCAY 2_NR-295</t>
  </si>
  <si>
    <t>Bajos de lircay 3</t>
  </si>
  <si>
    <t>ITA_N-78_R20-BAJOS DE LIRCAY 3_NR-299</t>
  </si>
  <si>
    <t>Libún</t>
  </si>
  <si>
    <t>ITA_N-79_R20-LIBUN_NR-298</t>
  </si>
  <si>
    <t>Las Vertientes</t>
  </si>
  <si>
    <t>ITA_N-80_R20-LAS VERTIENTES_NR-304</t>
  </si>
  <si>
    <t>Codellima</t>
  </si>
  <si>
    <t>ITA_N-81_R20-LAS VERTIENTES_NR-314</t>
  </si>
  <si>
    <t>El Manzano</t>
  </si>
  <si>
    <t>ITA_N-82_R20-EL MANZANO_NR-310</t>
  </si>
  <si>
    <t>Bureo</t>
  </si>
  <si>
    <t>ITA_N-83_R20-BUREO_NR-313</t>
  </si>
  <si>
    <t>Purapel</t>
  </si>
  <si>
    <t>ITA_N-84_R20-PURAPEL_NR-312</t>
  </si>
  <si>
    <t>Vado La Patagua</t>
  </si>
  <si>
    <t>ITA_N-85_R20-VADO LA PATAGUA_NR-128</t>
  </si>
  <si>
    <t>Viluco</t>
  </si>
  <si>
    <t>ITA_N-86_R20-VILUCO_NR-212</t>
  </si>
  <si>
    <t>Canal Endesa</t>
  </si>
  <si>
    <t>ITA_N-87_R20-CANAL ENDESA_NR-279</t>
  </si>
  <si>
    <t>Santa Filomena</t>
  </si>
  <si>
    <t>ITA_N-88_R20-SANTA FILOMENA_NR-235</t>
  </si>
  <si>
    <t>San Gabriel</t>
  </si>
  <si>
    <t>ITA_N-89_R20-SAN GABRIEL_NR-296</t>
  </si>
  <si>
    <t>El Lucero</t>
  </si>
  <si>
    <t>ITA_N-90_R20-EL LUCERO_NR-329</t>
  </si>
  <si>
    <t>Salida Huapi</t>
  </si>
  <si>
    <t>San Pedro</t>
  </si>
  <si>
    <t>Majadillas</t>
  </si>
  <si>
    <t>Rincón de Morales</t>
  </si>
  <si>
    <t>Rancura</t>
  </si>
  <si>
    <t>Circunvalación norte</t>
  </si>
  <si>
    <t>El Álamo</t>
  </si>
  <si>
    <t>Las Brujas 3</t>
  </si>
  <si>
    <t>Loma Verde</t>
  </si>
  <si>
    <t>Rauquen</t>
  </si>
  <si>
    <t>Colín</t>
  </si>
  <si>
    <t>Los Largos</t>
  </si>
  <si>
    <t>Curacura</t>
  </si>
  <si>
    <t>Orilla de Valdés</t>
  </si>
  <si>
    <t>La Rinconada</t>
  </si>
  <si>
    <t>ITA_N-91_R20- SALIDA HUAPI_NR-294</t>
  </si>
  <si>
    <t>ITA_N-92_R20-BARROS NEGROS_NR-273</t>
  </si>
  <si>
    <t>ITA_N-93_R20-SAN PEDRO_NR-348</t>
  </si>
  <si>
    <t>ITA_N-94_R20-MAJADILLAS_NR-323</t>
  </si>
  <si>
    <t>ITA_N-95_R20-RINCÓN DE MORALES_NR-340</t>
  </si>
  <si>
    <t>ITA_N-96_R20-RANCURA_NR-306</t>
  </si>
  <si>
    <t>ITA_N-97_R20-CIRCUNVALACIÓN NORTE_NR-371</t>
  </si>
  <si>
    <t>ITA_N-98_R20-EL ALAMO_NR-256</t>
  </si>
  <si>
    <t>ITA_N-99_R20-LAS BRUJAS 3_NR-305</t>
  </si>
  <si>
    <t>ITA_N-100_R20-LOMA VERDE_NR-327</t>
  </si>
  <si>
    <t>ITA_N-101_R20-RAUQUEN_NR-136</t>
  </si>
  <si>
    <t>ITA_N-102_R20-COLÍN_NR-401</t>
  </si>
  <si>
    <t>ITA_N-103_R20-LOS LARGOS_NR-405</t>
  </si>
  <si>
    <t>ITA_N-104_R20-CURACURA_NR-409</t>
  </si>
  <si>
    <t>ITA_N-105_R20-ORILLA DE VALDES_NR-246</t>
  </si>
  <si>
    <t>ITA_N-106_R20-LA RINCONADA_NR-234</t>
  </si>
  <si>
    <t>Santa Carolina</t>
  </si>
  <si>
    <t>La Yesca</t>
  </si>
  <si>
    <t>Pangue abajo 2</t>
  </si>
  <si>
    <t>Las Violetas</t>
  </si>
  <si>
    <t>Lagunillas</t>
  </si>
  <si>
    <t>Cuesta Los Perros</t>
  </si>
  <si>
    <t>Huaquén 2</t>
  </si>
  <si>
    <t>Plaza Rauquén</t>
  </si>
  <si>
    <t>La Aldea</t>
  </si>
  <si>
    <t>Tabolguen 2</t>
  </si>
  <si>
    <t>Tabolguen 3</t>
  </si>
  <si>
    <t>Tabolguen 4</t>
  </si>
  <si>
    <t>Linares de Perales 3</t>
  </si>
  <si>
    <t>El Boldo</t>
  </si>
  <si>
    <t>Numpay</t>
  </si>
  <si>
    <t>Las Brisas</t>
  </si>
  <si>
    <t>Los Maquis 2</t>
  </si>
  <si>
    <t>El Monte</t>
  </si>
  <si>
    <t>Los Maquis 3</t>
  </si>
  <si>
    <t>Los Quillayes</t>
  </si>
  <si>
    <t>Santa Ana</t>
  </si>
  <si>
    <t>Miraflores</t>
  </si>
  <si>
    <t>La Liebre</t>
  </si>
  <si>
    <t>Alto Llico</t>
  </si>
  <si>
    <t>Capellanía 2</t>
  </si>
  <si>
    <t>Cuesta El Peral</t>
  </si>
  <si>
    <t>La Aurora</t>
  </si>
  <si>
    <t>Pozo de oro 3</t>
  </si>
  <si>
    <t>Melozal 2</t>
  </si>
  <si>
    <t>La Obra</t>
  </si>
  <si>
    <t>Pangue arriba</t>
  </si>
  <si>
    <t>Cerro la virgen</t>
  </si>
  <si>
    <t>Cerro la virgen 2</t>
  </si>
  <si>
    <t>Marimaura</t>
  </si>
  <si>
    <t>El Peral</t>
  </si>
  <si>
    <t xml:space="preserve">Caliboro </t>
  </si>
  <si>
    <t>Llancagua_Los cajones</t>
  </si>
  <si>
    <t>Los despachos/ Pichun norte</t>
  </si>
  <si>
    <t>Tabolguen 10</t>
  </si>
  <si>
    <t>Tabolguen 11</t>
  </si>
  <si>
    <t>El Almendro</t>
  </si>
  <si>
    <t>Piguchuén</t>
  </si>
  <si>
    <t>El Ajial</t>
  </si>
  <si>
    <t>Cerro la virgen 3</t>
  </si>
  <si>
    <t>Cruce El Tabaco</t>
  </si>
  <si>
    <t>Cruce El Membrillo</t>
  </si>
  <si>
    <t>Botalcura</t>
  </si>
  <si>
    <t>Panguilemo</t>
  </si>
  <si>
    <t>Quebrada de agua</t>
  </si>
  <si>
    <t>El Carmen uno 2</t>
  </si>
  <si>
    <t>El Membrillo</t>
  </si>
  <si>
    <t>Bajos de Copihue</t>
  </si>
  <si>
    <t>González Bastías</t>
  </si>
  <si>
    <t xml:space="preserve">Monte grande </t>
  </si>
  <si>
    <t>El Bosque</t>
  </si>
  <si>
    <t>Cajón de pejerrey</t>
  </si>
  <si>
    <t>La Palma</t>
  </si>
  <si>
    <t>San Manuel 2</t>
  </si>
  <si>
    <t>San Claudio</t>
  </si>
  <si>
    <t>Vaqueria 2</t>
  </si>
  <si>
    <t>Viluco 2</t>
  </si>
  <si>
    <t>Viluco 4</t>
  </si>
  <si>
    <t>Quillaimo sur</t>
  </si>
  <si>
    <t>Quillaimo sur 3</t>
  </si>
  <si>
    <t>Guiones</t>
  </si>
  <si>
    <t>Paine</t>
  </si>
  <si>
    <t>San Gabriel 2</t>
  </si>
  <si>
    <t>Santa Gertrudis</t>
  </si>
  <si>
    <t>Talquita</t>
  </si>
  <si>
    <t>Viluco Alto 3</t>
  </si>
  <si>
    <t>Viluco Alto 2</t>
  </si>
  <si>
    <t>San Alfonso</t>
  </si>
  <si>
    <t>Cerro Quepo</t>
  </si>
  <si>
    <t>Cerro de la Virgen 4</t>
  </si>
  <si>
    <t>El Peumo</t>
  </si>
  <si>
    <t>Higuerillas</t>
  </si>
  <si>
    <t>San Sebastián</t>
  </si>
  <si>
    <t>Los Naranjos</t>
  </si>
  <si>
    <t xml:space="preserve">San Clemente </t>
  </si>
  <si>
    <t>Palmira Bajo</t>
  </si>
  <si>
    <t>Orilla de Maule 2</t>
  </si>
  <si>
    <t>Orilla de Maule 3</t>
  </si>
  <si>
    <t>Orilla de Maule 4</t>
  </si>
  <si>
    <t>El Guapi</t>
  </si>
  <si>
    <t>San Alfonso 2</t>
  </si>
  <si>
    <t>Maquehua 3</t>
  </si>
  <si>
    <t>Los Castaños</t>
  </si>
  <si>
    <t>Las Delicas</t>
  </si>
  <si>
    <t>Pangue</t>
  </si>
  <si>
    <t xml:space="preserve">Santa Irma </t>
  </si>
  <si>
    <t>Cantera de Numpay</t>
  </si>
  <si>
    <t>Santa Rosa/ Pueblo Chico</t>
  </si>
  <si>
    <t>El Lingue/ Rastrojos</t>
  </si>
  <si>
    <t xml:space="preserve">Salida Cuellar </t>
  </si>
  <si>
    <t xml:space="preserve">Longitudinal </t>
  </si>
  <si>
    <t>Longitudinal 2</t>
  </si>
  <si>
    <t>Longitudinal 5</t>
  </si>
  <si>
    <t>Longitudinal 6</t>
  </si>
  <si>
    <t>Alto El Boldo</t>
  </si>
  <si>
    <t xml:space="preserve">Santa Matilde </t>
  </si>
  <si>
    <t>Unicaven</t>
  </si>
  <si>
    <t>Guaipillo</t>
  </si>
  <si>
    <t>La Posada</t>
  </si>
  <si>
    <t>Camino a Miraflores</t>
  </si>
  <si>
    <t>Longitudinal 3</t>
  </si>
  <si>
    <t>Santa Agueda 3</t>
  </si>
  <si>
    <t>Los Robles 2</t>
  </si>
  <si>
    <t>El Carmen 2</t>
  </si>
  <si>
    <t>Nuevo Amanecer</t>
  </si>
  <si>
    <t>La Granja</t>
  </si>
  <si>
    <t>Palmilla 2</t>
  </si>
  <si>
    <t>Villa Cobín 2</t>
  </si>
  <si>
    <t>Los Maitenes</t>
  </si>
  <si>
    <t>Pichingal 2</t>
  </si>
  <si>
    <t>Santa Cecilia</t>
  </si>
  <si>
    <t>Yungay</t>
  </si>
  <si>
    <t>La Peña</t>
  </si>
  <si>
    <t>Tutucura</t>
  </si>
  <si>
    <t>Cruce La Cantera</t>
  </si>
  <si>
    <t>Chacarillas norte</t>
  </si>
  <si>
    <t>Santa Susana</t>
  </si>
  <si>
    <t>Guaico Bajo</t>
  </si>
  <si>
    <t>Requingua</t>
  </si>
  <si>
    <t>Trapiche</t>
  </si>
  <si>
    <t>Guaico uno</t>
  </si>
  <si>
    <t>Tabolguen 7</t>
  </si>
  <si>
    <t>Tabolguen 8</t>
  </si>
  <si>
    <t>Tabolguen 9</t>
  </si>
  <si>
    <t>San Juan</t>
  </si>
  <si>
    <t>Rincón de San Carlos 2</t>
  </si>
  <si>
    <t>Las Margaritas</t>
  </si>
  <si>
    <t>Puente Tequeral</t>
  </si>
  <si>
    <t>Pataguilla</t>
  </si>
  <si>
    <t>La Huerta</t>
  </si>
  <si>
    <t>Puente Paula</t>
  </si>
  <si>
    <t>Chequen</t>
  </si>
  <si>
    <t>Las Trancas</t>
  </si>
  <si>
    <t>Molco</t>
  </si>
  <si>
    <t>Molco 2</t>
  </si>
  <si>
    <t>Rincón de Maica</t>
  </si>
  <si>
    <t>Maica</t>
  </si>
  <si>
    <t>Santa María</t>
  </si>
  <si>
    <t>San Clemente (Trabajo social)</t>
  </si>
  <si>
    <t>Callejones</t>
  </si>
  <si>
    <t>Quiñantu</t>
  </si>
  <si>
    <t>Buena Paz</t>
  </si>
  <si>
    <t>Alupenhue 2</t>
  </si>
  <si>
    <t>Algarrobito</t>
  </si>
  <si>
    <t>La Reina</t>
  </si>
  <si>
    <t>Cruce Catillo</t>
  </si>
  <si>
    <t>El oriente</t>
  </si>
  <si>
    <t>La Esperanza</t>
  </si>
  <si>
    <t>Santa Raquel 2</t>
  </si>
  <si>
    <t>El Torreón</t>
  </si>
  <si>
    <t>Portezuelo</t>
  </si>
  <si>
    <t xml:space="preserve">Las Garzas 2 </t>
  </si>
  <si>
    <t>Quebrada de Ramírez</t>
  </si>
  <si>
    <t>Lomillas</t>
  </si>
  <si>
    <t>Los Pozos</t>
  </si>
  <si>
    <t>Pasarela Paine</t>
  </si>
  <si>
    <t>Miraflores 2</t>
  </si>
  <si>
    <t>Orilla de Maule 5</t>
  </si>
  <si>
    <t>San Ignacio 2</t>
  </si>
  <si>
    <t>El Alamo</t>
  </si>
  <si>
    <t>Los Nabos 2</t>
  </si>
  <si>
    <t>Los Nabos</t>
  </si>
  <si>
    <t>San Ramón</t>
  </si>
  <si>
    <t>Viñales</t>
  </si>
  <si>
    <t>La Quinta</t>
  </si>
  <si>
    <t>Cruce el durazno</t>
  </si>
  <si>
    <t>Orilla de Valdés 2</t>
  </si>
  <si>
    <t>Majadillas 2</t>
  </si>
  <si>
    <t>Majadillas 3</t>
  </si>
  <si>
    <t>Santa Ana de Queri 3</t>
  </si>
  <si>
    <t>Callejón La Laguna</t>
  </si>
  <si>
    <t>Vara gruesa 3</t>
  </si>
  <si>
    <t>El manzano</t>
  </si>
  <si>
    <t>La Florida</t>
  </si>
  <si>
    <t>Altos de Bellavista</t>
  </si>
  <si>
    <t>Los Cruceros arancibia</t>
  </si>
  <si>
    <t xml:space="preserve">La Orilla </t>
  </si>
  <si>
    <t>La Higuera</t>
  </si>
  <si>
    <t>Barrio estación</t>
  </si>
  <si>
    <t>El Castillo (particular)</t>
  </si>
  <si>
    <t>Curtiduria</t>
  </si>
  <si>
    <t>Villa Rauquen</t>
  </si>
  <si>
    <t>Vaticano</t>
  </si>
  <si>
    <t xml:space="preserve">Trapiche bajo </t>
  </si>
  <si>
    <t>Trapiche bajo 2</t>
  </si>
  <si>
    <t>Santa Elisa</t>
  </si>
  <si>
    <t>La Gloria</t>
  </si>
  <si>
    <t>Febrero</t>
  </si>
  <si>
    <t>Marzo</t>
  </si>
  <si>
    <t>Abril</t>
  </si>
  <si>
    <t>Mayo</t>
  </si>
  <si>
    <t>ITA_N-107_R20-SANTA CAROLINA_NR-422</t>
  </si>
  <si>
    <t>ITA_N-108_R20-LA YESCA_NR-330</t>
  </si>
  <si>
    <t>ITA_N-109_R20-PANGUE ABAJO 2_NR-457</t>
  </si>
  <si>
    <t>ITA_N-110_R20-LAS VIOLETAS_NR-452</t>
  </si>
  <si>
    <t>ITA_N-111_R20-LAGUNILLAS_NR-309</t>
  </si>
  <si>
    <t>ITA_N-112_R20-CUESTA LOS PERROS_NR-291</t>
  </si>
  <si>
    <t>ITA_N-113_R20-HUAQUEN 2_NR-331</t>
  </si>
  <si>
    <t>ITA_N-114_R20-PLAZA RAUQUEN_NR-444</t>
  </si>
  <si>
    <t>ITA_N-115_R20-SANTA INES_NR-131</t>
  </si>
  <si>
    <t>ITA_N-116_R20-LA ALDEA_NR-404</t>
  </si>
  <si>
    <t>ITA_N-117_R20-TABOLGUEN 2_NR-414</t>
  </si>
  <si>
    <t>ITA_N-118_R20-TABOLGUEN 3_NR-415</t>
  </si>
  <si>
    <t>ITA_N-119_R20-TABOLGUEN 4_NR-417</t>
  </si>
  <si>
    <t>ITA_N-120_R20-LINARES DE PERALES 3_NR-471</t>
  </si>
  <si>
    <t>ITA_N-121_R20-EL BOLDO_NR-465</t>
  </si>
  <si>
    <t>ITA_N-122_R20-NUMPAY_NR-485</t>
  </si>
  <si>
    <t>ITA_N-123_R20-LAS BRISAS_NR-470</t>
  </si>
  <si>
    <t>ITA_N-124_R20-LOS MAQUIS 2_NR-467</t>
  </si>
  <si>
    <t>ITA_N-125_R20-EL MONTE_NR-254</t>
  </si>
  <si>
    <t>ITA_N-126_R20-LOS MAQUIS 3_NR-498</t>
  </si>
  <si>
    <t>ITA_N-127_R20-LOS QUILLAYES_NR-425</t>
  </si>
  <si>
    <t>ITA_N-128_R20-SANTA ANA_NR-334</t>
  </si>
  <si>
    <t>ITA_N-129_R20-MIRAFLORES_NR-387</t>
  </si>
  <si>
    <t>ITA_N-130_R20-LA LIEBRE_NR-508</t>
  </si>
  <si>
    <t>ITA_N-131_R20-ALTO LLICO_NR-521</t>
  </si>
  <si>
    <t>ITA_N-132_R20-CAPELLANIA 2_NR-518</t>
  </si>
  <si>
    <t>ITA_N-133_R20-CUESTA EL PERAL_NR-529</t>
  </si>
  <si>
    <t>ITA_N-134_R20-LA AURORA_NR-440</t>
  </si>
  <si>
    <t>ITA_N-135_R20-POZO DE ORO 3_NR-322</t>
  </si>
  <si>
    <t>ITA_N-136_R20-MELOZAL 2_NR-293</t>
  </si>
  <si>
    <t>ITA_N-137_R20-LA OBRA_NR-435</t>
  </si>
  <si>
    <t>ITA_N-138_R20-PANGUE ARRIBA_NR-542</t>
  </si>
  <si>
    <t>ITA_N-139_R20-CERRO DE LA VIRGEN_NR-537</t>
  </si>
  <si>
    <t>ITA_N-140_R20-CERRO DE LA VIRGEN 2_NR-547</t>
  </si>
  <si>
    <t>ITA_N-141_R20-MARIMAURA_NR-481</t>
  </si>
  <si>
    <t>ITA_N-142_R20-EL PERAL_NR-551</t>
  </si>
  <si>
    <t>ITA_N-143_R20-CALIBORO_NR-552</t>
  </si>
  <si>
    <t>ITA_N-144_R20-LLANCAGUA_LOS CAJONES_NR-288</t>
  </si>
  <si>
    <t>ITA_N-145_R20-LOS DESPACHOS/PICHUN NORTE_NR-540</t>
  </si>
  <si>
    <t>ITA_N-146_R20-TABOLGUEN 10_NR-534</t>
  </si>
  <si>
    <t>ITA_N-147_R20-TABOLGUEN 11_NR-545</t>
  </si>
  <si>
    <t>ITA_N-148_R20-EL ALMENDRO_NR-333</t>
  </si>
  <si>
    <t>ITA_N-149_R20-PIGUCHEN_NR-339</t>
  </si>
  <si>
    <t>ITA_N-150_R20-EL AJIAL_NR-561</t>
  </si>
  <si>
    <t>ITA_N-151_R20-CERRO LA VIRGEN 3_NR-573</t>
  </si>
  <si>
    <t>ITA_N-152_R20-CRUCE EL TABACO_NR-576</t>
  </si>
  <si>
    <t>ITA_N-153_R20-CRUCE EL MEMBRILLO_NR-577</t>
  </si>
  <si>
    <t>ITA_N-154_R20-BOTALCURA_NR-418</t>
  </si>
  <si>
    <t>ITA_N-155_R20-PANGUILEMO_NR-567</t>
  </si>
  <si>
    <t>ITA_N-156_R20-QUEBRADA DE AGUA_NR-436</t>
  </si>
  <si>
    <t>ITA_N-157_R20-EL CARMEN UNO 2_NR-346</t>
  </si>
  <si>
    <t>ITA_N-158_R20-EL MEMBRILLO_NR-400</t>
  </si>
  <si>
    <t>ITA_N-159_R20-BAJOS DE COPIHUE_NR-289</t>
  </si>
  <si>
    <t>ITA_N-160_R20-GONZÁLEZ BASTÍAS_NR-491</t>
  </si>
  <si>
    <t>ITA_N-161_R20-MONTE GRANDE_NR-351</t>
  </si>
  <si>
    <t>ITA_N-162_R20-EL BOSQUE_NR-449</t>
  </si>
  <si>
    <t>ITA_N-163_R20-CAJON DE PEJERREY_NR-460</t>
  </si>
  <si>
    <t>ITA_N-164_R20-LA PALMA_NR-251</t>
  </si>
  <si>
    <t>ITA_N-165_R20-SAN MANUEL 2_NR-237</t>
  </si>
  <si>
    <t>ITA_N-166_R20-SAN CLAUDIO_NR-277</t>
  </si>
  <si>
    <t>ITA_N-167_R20-VAQUERIA 2_NR-569</t>
  </si>
  <si>
    <t>ITA_N-168_R20-VILUCO  2_NR-224</t>
  </si>
  <si>
    <t>ITA_N-169_R20-VILUCO  4_NR-318</t>
  </si>
  <si>
    <t>ITA_N-170_R20-QUILLAIMO SUR_NR-434</t>
  </si>
  <si>
    <t>ITA_N-171_R20-QUILLAIMO SUR 3_NR-495</t>
  </si>
  <si>
    <t>ITA_N-172_R20-GUIONES_NR-601</t>
  </si>
  <si>
    <t>ITA_N-173_R20-PAINE_NR-599</t>
  </si>
  <si>
    <t>ITA_N-174_R20-SAN GABRIEL 2_NR-363</t>
  </si>
  <si>
    <t>ITA_N-175_R20-SANTA GERTRUDIS_NR-441</t>
  </si>
  <si>
    <t>ITA_N-176_R20-TALQUITA_NR-522</t>
  </si>
  <si>
    <t>ITA_N-177_R20-VILUCO ALTO 3_NR-597</t>
  </si>
  <si>
    <t>ITA_N-178_R20-VILUCO ALTO 2_NR-554</t>
  </si>
  <si>
    <t>ITA_N-179_R20-SAN ALFONSO_NR-550</t>
  </si>
  <si>
    <t>ITA_N-180_R20-CERRO QUEPO_NR-584</t>
  </si>
  <si>
    <t>ITA_N-181_R20-CERRO DE LA VIRGEN 4_NR-608</t>
  </si>
  <si>
    <t>ITA_N-182_R20-EL PEUMO_NR-607</t>
  </si>
  <si>
    <t>ITA_N-183_R20-HIGUERILLAS_NR-609</t>
  </si>
  <si>
    <t>ITA_N-184_R20-SAN SEBASTIAN_NR-606</t>
  </si>
  <si>
    <t>ITA_N-185_R20-LOS NARANJOS_NR-596</t>
  </si>
  <si>
    <t>ITA_N-186_R20-SAN MANUEL_NR-421</t>
  </si>
  <si>
    <t>ITA_N-187_R20-PALMIRA BAJO_NR-624</t>
  </si>
  <si>
    <t>ITA_N-188_R20-ORILLA DE MAULE_NR-571</t>
  </si>
  <si>
    <t>ITA_N-189_R20-ORILLA DE MAULE 2_NR-177</t>
  </si>
  <si>
    <t>ITA_N-190_R20-ORILLA DE MAULE 3_NR-193</t>
  </si>
  <si>
    <t>ITA_N-191_R20-ORILLA DE MAULE 4_NR-395</t>
  </si>
  <si>
    <t>ITA_N-192_R20-EL GUAPI_NR-562</t>
  </si>
  <si>
    <t>ITA_N-193_R20-SAN ALFONSO 2_NR-623</t>
  </si>
  <si>
    <t>ITA_N-194_R20-MAQUEHUA 3_NR-615</t>
  </si>
  <si>
    <t>ITA_N-195_R20-LOS CASTAÑOS_NR-623</t>
  </si>
  <si>
    <t>ITA_N-196_R20-LAS DELICIAS_NR-621</t>
  </si>
  <si>
    <t>ITA_N-197_R20-PANGUE_NR-499</t>
  </si>
  <si>
    <t>ITA_N-198_R20-SANTA IRMA_NR-396</t>
  </si>
  <si>
    <t>ITA_N-199_R20-CANTERA DE NUMPAY_NR-538</t>
  </si>
  <si>
    <t>ITA_N-200_R20-SANTA ROSA/PUEBLO CHICO_NR-432</t>
  </si>
  <si>
    <t>ITA_N-201_R20-EL LINGUE/ RASTROJOS_NR-420</t>
  </si>
  <si>
    <t>ITA_N-202_R20-SALIDA CUELLAR_NR-276</t>
  </si>
  <si>
    <t>ITA_N-203_R20-LONGITUDINAL_NR-81</t>
  </si>
  <si>
    <t>ITA_N-204_R20-LONGITUDINAL 2_NR-129</t>
  </si>
  <si>
    <t>ITA_N-205_R20-LONGITUDINAL 5_NR-406</t>
  </si>
  <si>
    <t>ITA_N-206_R20-LONGITUDINAL 6_NR-412</t>
  </si>
  <si>
    <t>ITA_N-207_R20-ALTO EL BOLDO_NR-619</t>
  </si>
  <si>
    <t>ITA_N-208_R20-SANTA MATILDE_NR-622</t>
  </si>
  <si>
    <t>ITA_N-209_R20-UNICAVEN_NR-490</t>
  </si>
  <si>
    <t>ITA_N-210_R20-GUAIPILLO_NR-579</t>
  </si>
  <si>
    <t>ITA_N-211_R20-LA POSADA_NR-428</t>
  </si>
  <si>
    <t>ITA_N-212_R20-CAMINO A MIRAFLORES_NR-156</t>
  </si>
  <si>
    <t>ITA_N-213_R20-TRES ESQUINAS_NR-544</t>
  </si>
  <si>
    <t>ITA_N-214_R20-LONGITUDINAL 3_NR-316</t>
  </si>
  <si>
    <t>ITA_N-215_R20-SANTA AGUEDA  3_NR-489</t>
  </si>
  <si>
    <t>ITA_N-216_R20-LOS ROBLES 2_NR-602</t>
  </si>
  <si>
    <t>ITA_N-217_R20-ELCARMEN 2_NR-407</t>
  </si>
  <si>
    <t>ITA_N-218_R20-NUEVO AMANECER_NR-438</t>
  </si>
  <si>
    <t>ITA_N-219_R20-LA GRANJA_NR-384</t>
  </si>
  <si>
    <t>ITA_N-220_R20-PALMILLA 2_NR-519</t>
  </si>
  <si>
    <t>ITA_N-221_R20-TRES ESQUINAS_NR-411</t>
  </si>
  <si>
    <t>ITA_N-222_R20-VILLA COBIN 2_NR-617</t>
  </si>
  <si>
    <t>ITA_N-223_R20-LOS MAITENES_NR-639</t>
  </si>
  <si>
    <t>ITA_N-224_R20-PICHINGAL 2_NR-427</t>
  </si>
  <si>
    <t>ITA_N-225_R20-SANTA CECILIA_NR-408</t>
  </si>
  <si>
    <t>ITA_N-226_R20-YUNGAY_NR-563</t>
  </si>
  <si>
    <t>ITA_N-227_R20-LA PEÑA_NR-486</t>
  </si>
  <si>
    <t>ITA_N-228_R20-TUTUCURA_NR-446</t>
  </si>
  <si>
    <t>ITA_N-229_R20-EL PERAL_NR-600</t>
  </si>
  <si>
    <t>ITA_N-230_R20-CRUCE LA CANTERA_NR-543</t>
  </si>
  <si>
    <t>ITA_N-231_R20-CHACARILLAS NORTE_NR-319</t>
  </si>
  <si>
    <t>ITA_N-232_R20-SANTA SUSANA_NR-509</t>
  </si>
  <si>
    <t>ITA_N-233_R20-GUAICO BAJO_NR-477</t>
  </si>
  <si>
    <t>ITA_N-234_R20-REQUINGUA_NR-517</t>
  </si>
  <si>
    <t>ITA_N-235_R20-TRAPICHE_NR-462</t>
  </si>
  <si>
    <t>ITA_N-236_R20-GUAICO UNO_NR-625</t>
  </si>
  <si>
    <t>ITA_N-237_R20-EL MANZANO_NR-510</t>
  </si>
  <si>
    <t>ITA_N-238_R20-TABOLGUEN 7_NR-488</t>
  </si>
  <si>
    <t>ITA_N-239_R20-TABOLGUEN 8_NR-497</t>
  </si>
  <si>
    <t>ITA_N-240_R20-TABOLGUEN 9_NR-523</t>
  </si>
  <si>
    <t>ITA_N-241_R20-SAN JUAN_NR-580</t>
  </si>
  <si>
    <t>ITA_N-242_R20-RINCON DE SAN CARLOS 2_NR-539</t>
  </si>
  <si>
    <t>ITA_N-243_R20-LAS MARGARITAS_NR-172</t>
  </si>
  <si>
    <t>ITA_N-244_R20-LAS MARGARITAS_NR-368</t>
  </si>
  <si>
    <t>ITA_N-245_R20-PUENTE TEQUERAL_NR-345</t>
  </si>
  <si>
    <t>ITA_N-246_R20-PATAGUILLA_NR-374</t>
  </si>
  <si>
    <t>ITA_N-247_R20-LA HUERTA_NR-390</t>
  </si>
  <si>
    <t>ITA_N-248_R20-PUENTE PAULA_NR-635</t>
  </si>
  <si>
    <t>ITA_N-249_R20-CHEQUEN_NR-410</t>
  </si>
  <si>
    <t>ITA_N-250_R20-LAS TRANCAS_NR-632</t>
  </si>
  <si>
    <t>ITA_N-251_R20-MOLCO_NR-614</t>
  </si>
  <si>
    <t>ITA_N-252_R20-MOLCO 2_NR-616</t>
  </si>
  <si>
    <t>ITA_N-253_R20-RINCON DE MAICA_NR-661</t>
  </si>
  <si>
    <t>ITA_N-254_R20-MAICA_NR-646</t>
  </si>
  <si>
    <t>ITA_N-255_R20-SANTA MARIA_NR-660</t>
  </si>
  <si>
    <t>ITA_N-256_R20-SAN CLEMENTE (TRABAJO SOCIAL)_NR-627</t>
  </si>
  <si>
    <t>ITA_N-257_R20-CALLEJONES_NR-587</t>
  </si>
  <si>
    <t>ITA_N-258_R20-QUIÑANTÚ_NR-366</t>
  </si>
  <si>
    <t>ITA_N-259_R20-BUENA PAZ_NR-560</t>
  </si>
  <si>
    <t>ITA_N-260_R20-ALUPENHUE 2_NR-647</t>
  </si>
  <si>
    <t>ITA_N-261_R20-ALGARROBITO_NR-613</t>
  </si>
  <si>
    <t>ITA_N-262_R20-LA REINA_NR-206</t>
  </si>
  <si>
    <t>ITA_N-263_R20-CRUCE CATILLO_NR-209</t>
  </si>
  <si>
    <t>ITA_N-264_R20-EL ORIENTE_NR-252</t>
  </si>
  <si>
    <t>ITA_N-265_R20-LA ESPERANZA_NR-645</t>
  </si>
  <si>
    <t>ITA_N-266_R20-SANTA RAQUEL 2_NR-665</t>
  </si>
  <si>
    <t>ITA_N-267_R20-EL TORREÓN_NR-657</t>
  </si>
  <si>
    <t>ITA_N-268_R20-PORTEZUELO_NR-344</t>
  </si>
  <si>
    <t>ITA_N-269_R20-EL MANZANO_NR-347</t>
  </si>
  <si>
    <t>ITA_N-270_R20-LAS GARZAS 2_NR-641</t>
  </si>
  <si>
    <t>ITA_N-271_R20-QUEBRADA DE RAMIREZ_NR-16</t>
  </si>
  <si>
    <t>ITA_N-272_R20-LOMILLAS_NR-590</t>
  </si>
  <si>
    <t>ITA_N-273_R20-LA GRANJA_NR-353</t>
  </si>
  <si>
    <t>ITA_N-274_R20-LOS POZOS_NR-268</t>
  </si>
  <si>
    <t>ITA_N-275_R20-EL LUCERO_NR-653</t>
  </si>
  <si>
    <t>ITA_N-276_R20-PASARELA PAINE_NR-311</t>
  </si>
  <si>
    <t>ITA_N-277_R20-PALMIRA BAJO_NR-673</t>
  </si>
  <si>
    <t>ITA_N-278_R20-MIRAFLORES 2_NR-672</t>
  </si>
  <si>
    <t>ITA_N-279_R20-ORILLA DE MAULE 5_NR-670</t>
  </si>
  <si>
    <t>ITA_N-280_R20-SAN IGNACIO 3_NR-566</t>
  </si>
  <si>
    <t>ITA_N-281_R20-EL ALAMO_NR-258</t>
  </si>
  <si>
    <t>ITA_N-282_R20-SAN FRANCISCO_NR-308</t>
  </si>
  <si>
    <t>ITA_N-283_R20-LOS NABOS 2_NR-585</t>
  </si>
  <si>
    <t>ITA_N-284_R20-LOS NABOS_NR-530</t>
  </si>
  <si>
    <t>ITA_N-285_R20-SAN RAMÓN_NR-658</t>
  </si>
  <si>
    <t>ITA_N-286_R20-VIÑALES_NR-674</t>
  </si>
  <si>
    <t>ITA_N-287_R20-LA QUINTA_NR-664</t>
  </si>
  <si>
    <t>ITA_N-288_R20-CRUCE EL DRUAZNO_NR-676</t>
  </si>
  <si>
    <t>ITA_N-289_R20-ORILLA DE VALDES 2_NR-671</t>
  </si>
  <si>
    <t>ITA_N-290_R20-MAJADILLAS 2_NR-535</t>
  </si>
  <si>
    <t>ITA_N-291_R20-MAJADILLAS 3_NR-541</t>
  </si>
  <si>
    <t>ITA_N-292_R20-SANTA ANA DE QUERI 3_NR-618</t>
  </si>
  <si>
    <t>ITA_N-293_R20-CALLEJÓN LA LAGUNA_NR-275</t>
  </si>
  <si>
    <t>ITA_N-294_R20-VARA GRUESA 3_NR-378</t>
  </si>
  <si>
    <t>ITA_N-295_R20-EL MANZANO_NR-367</t>
  </si>
  <si>
    <t>ITA_N-296_R20-LA FLORIDA_NR-226</t>
  </si>
  <si>
    <t>ITA_N-297_R20-ALTOS DE BELLAVISTA_NR-326</t>
  </si>
  <si>
    <t>ITA_N-298_R20-LOS CRUCEROS ARANCIBIA_NR-559</t>
  </si>
  <si>
    <t>ITA_N-299_R20-LA ORILLA_NR-663</t>
  </si>
  <si>
    <t>ITA_N-300_R20-LA HIGUERA_NR-135</t>
  </si>
  <si>
    <t>ITA_N-301_R20-BARRIO ESTACIÓN_NR-151</t>
  </si>
  <si>
    <t>ITA_N-302_R20-EL CASTILLO (PARTICULAR)_NR-473</t>
  </si>
  <si>
    <t>ITA_N-303_R20-CURTIDURIA_NR-186</t>
  </si>
  <si>
    <t>ITA_N-304_R20-LA PALMA_NR-369</t>
  </si>
  <si>
    <t>ITA_N-305_R20-VILLA RAUQUEN_NR-651</t>
  </si>
  <si>
    <t>ITA_N-306_R20-VATICANO_NR-492</t>
  </si>
  <si>
    <t>ITA_N-307_R20-TRAPICHE BAJO_NR-483</t>
  </si>
  <si>
    <t>ITA_N-308_R20-TRAPICHE BAJO 2_NR-502</t>
  </si>
  <si>
    <t>ITA_N-309_R20-SANTA ELISA_NR-388</t>
  </si>
  <si>
    <t>ITA_N-310_R20-LA GLORIA_NR-247</t>
  </si>
  <si>
    <t>Puente Piduco</t>
  </si>
  <si>
    <t>Riveras de Lircay</t>
  </si>
  <si>
    <t>Santa Isabel 2</t>
  </si>
  <si>
    <t>La Unión 2</t>
  </si>
  <si>
    <t>Las Pataguas</t>
  </si>
  <si>
    <t>Toconey</t>
  </si>
  <si>
    <t>Matancilla</t>
  </si>
  <si>
    <t>Itahue sur</t>
  </si>
  <si>
    <t>San Camilo 2</t>
  </si>
  <si>
    <t>San Camilo 3</t>
  </si>
  <si>
    <t>Callejón la Diez</t>
  </si>
  <si>
    <t>La Selva</t>
  </si>
  <si>
    <t>Aguas Negras</t>
  </si>
  <si>
    <t>Calle Licantén</t>
  </si>
  <si>
    <t>Las Acacias</t>
  </si>
  <si>
    <t>523- Monte oscuro 2 (Particular)</t>
  </si>
  <si>
    <t>Monte oscuro</t>
  </si>
  <si>
    <t>Santa Lucia -2</t>
  </si>
  <si>
    <t>Cerro Santa Lucia</t>
  </si>
  <si>
    <t>Campamento en Catillo (particular)</t>
  </si>
  <si>
    <t>Bajo Las Torres</t>
  </si>
  <si>
    <t>Los Pinares de Catillo</t>
  </si>
  <si>
    <t>Los Corrales</t>
  </si>
  <si>
    <t>Lo Figueroa 2</t>
  </si>
  <si>
    <t>Santa Lucia 3</t>
  </si>
  <si>
    <t xml:space="preserve">Lihueno sur </t>
  </si>
  <si>
    <t>Santa Rosa</t>
  </si>
  <si>
    <t xml:space="preserve">Monterilla </t>
  </si>
  <si>
    <t>Cruce Quinta</t>
  </si>
  <si>
    <t>Viluco 5</t>
  </si>
  <si>
    <t>La Aguada</t>
  </si>
  <si>
    <t>Lomas de Polcura</t>
  </si>
  <si>
    <t>Doña Jacinta</t>
  </si>
  <si>
    <t>Villa El Parque</t>
  </si>
  <si>
    <t>Tabaco</t>
  </si>
  <si>
    <t>Buena Vista</t>
  </si>
  <si>
    <t>El Retamo</t>
  </si>
  <si>
    <t>Ovejería Negra</t>
  </si>
  <si>
    <t>Lomas de la Tercera</t>
  </si>
  <si>
    <t>Santa Juana</t>
  </si>
  <si>
    <t>Santa Rosa de lavadero 4</t>
  </si>
  <si>
    <t>ITA_N-311_R20-PUENTE PIDUCO_NR-392</t>
  </si>
  <si>
    <t>ITA_N-312_R20-RIVERAS DE LIRCAY_NR-321</t>
  </si>
  <si>
    <t>ITA_N-313_R20-SANTA ISABEL 2_NR-343</t>
  </si>
  <si>
    <t>ITA_N-314_R20-LA UNIÓN 2_NR-642</t>
  </si>
  <si>
    <t>ITA_N-315_R20-LAS PATAGUAS_NR-202</t>
  </si>
  <si>
    <t>ITA_N-316_R20-TOCONEY_NR-211</t>
  </si>
  <si>
    <t>ITA_N-317_R20-MATANCILLA_NR-271</t>
  </si>
  <si>
    <t>ITA_N-318_R20-ITAHUE SUR_NR-513</t>
  </si>
  <si>
    <t>ITA_N-319_R20-SAN CAMILO 2_NR-358</t>
  </si>
  <si>
    <t>ITA_N-320_R20-SAN CAMILO 3_NR-423</t>
  </si>
  <si>
    <t>ITA_N-321_R20-CALLEJON LA DIEZ_NR-59</t>
  </si>
  <si>
    <t>ITA_N-322_R20-LA SELVA_NR-445</t>
  </si>
  <si>
    <t>ITA_N-323_R20-AGUAS NEGRAS_NR-210</t>
  </si>
  <si>
    <t>ITA_N-324_R20-CALLE LICANTÉN_NR-419</t>
  </si>
  <si>
    <t>ITA_N-325_R20-LAS ACACIAS_NR-197</t>
  </si>
  <si>
    <t>ITA_N-326_R20-523-MONTE OSCURO 2 (PARTICULAR)_NR-604</t>
  </si>
  <si>
    <t>ITA_N-327_R20-523-MONTE OSCURO_NR-479</t>
  </si>
  <si>
    <t>ITA_N-328_R20-523-SANTA LUCIA-2_NR-389</t>
  </si>
  <si>
    <t>ITA_N-329_R20-523-CERRO SANTA LUCIA_NR-302</t>
  </si>
  <si>
    <t>ITA_N-330_R20-523-CAMPAMENTO EN CATILLO (PARTICULAR)_NR-654</t>
  </si>
  <si>
    <t>ITA_N-331_R20-523-BAJO LAS TORRES_NR-341</t>
  </si>
  <si>
    <t>ITA_N-332_R20-523-LOS PINARES DE CATILLO_NR-582</t>
  </si>
  <si>
    <t>ITA_N-333_R20-523-LOS CORRALES_NR-503</t>
  </si>
  <si>
    <t>ITA_N-334_R20-523-LO FIGUEROA 2_NR-182</t>
  </si>
  <si>
    <t>ITA_N-335_R20-523-EL ÁLAMO_NR-557</t>
  </si>
  <si>
    <t>ITA_N-336_R20-523-SANTA LUCIA 3_NR-511</t>
  </si>
  <si>
    <t>ITA_N-337_R20-523-LIHUENO SUR_NR-516</t>
  </si>
  <si>
    <t>ITA_N-338_R20-SANTA ROSA_NR-159</t>
  </si>
  <si>
    <t>ITA_N-339_R20-MONTERILLA_NR-167</t>
  </si>
  <si>
    <t>ITA_N-340_R20-CRUCE QUINTA_NR-152</t>
  </si>
  <si>
    <t>ITA_N-341_R20-VILUCO 5_NR-380</t>
  </si>
  <si>
    <t>ITA_N-342_R20-LA AGUADA_NR-629</t>
  </si>
  <si>
    <t>ITA_N-343_R20-LOMAS DE POLCURA_NR-644</t>
  </si>
  <si>
    <t>ITA_N-344_R20-DOÑA JACINTA_NR-146</t>
  </si>
  <si>
    <t>ITA_N-345_R20-VILLA EL PARQUE_NR-469</t>
  </si>
  <si>
    <t>ITA_N-346_R20-TABACO_NR-553</t>
  </si>
  <si>
    <t>ITA_N-347_R20-BUENA VISTA_NR-487</t>
  </si>
  <si>
    <t>ITA_N-348_R20-EL RETAMO_NR-578</t>
  </si>
  <si>
    <t>ITA_N-349_R20-SAN JUAN_NR-361</t>
  </si>
  <si>
    <t>ITA_N-350_R20-OVEJERIA NEGRA_NR-533</t>
  </si>
  <si>
    <t>ITA_N-351_R20-SAN FRANCISCO_NR-424</t>
  </si>
  <si>
    <t>ITA_N-352_R20-LOMAS DE LA TERCERA_NR-349</t>
  </si>
  <si>
    <t>ITA_N-353_R20-SANTA JUANA_NR-147</t>
  </si>
  <si>
    <t>ITA_N-354_R20-SANTA ROSA DE LAVADERO 4_NR-668</t>
  </si>
  <si>
    <t>Altos de Santa Rita</t>
  </si>
  <si>
    <t>Huaraculén</t>
  </si>
  <si>
    <t>Chivato</t>
  </si>
  <si>
    <t>Camarico</t>
  </si>
  <si>
    <t>Camarico 2</t>
  </si>
  <si>
    <t>Camarico 3</t>
  </si>
  <si>
    <t>Cerrillo Caivan</t>
  </si>
  <si>
    <t>Santa Luisa</t>
  </si>
  <si>
    <t>Piguchén 2</t>
  </si>
  <si>
    <t>Junio</t>
  </si>
  <si>
    <t>ITA_N-355_R20-ALTOS DE SANTA RITA_NR-160</t>
  </si>
  <si>
    <t>ITA_N-356_R20-HUERUCALÉN_NR-242</t>
  </si>
  <si>
    <t>ITA_N-357_R20-CHIVATO_NR-525</t>
  </si>
  <si>
    <t>ITA_N-358_R20-CAMARICO_NR-283</t>
  </si>
  <si>
    <t>ITA_N-359_R20-LOS MAQUIS 2_NR-243</t>
  </si>
  <si>
    <t>ITA_N-360_R20-CAMARICO 2_NR-476</t>
  </si>
  <si>
    <t>ITA_N-361_R20-CAMARICO 3_NR-480</t>
  </si>
  <si>
    <t>ITA_N-362_R20-CERRILLO CAIVAN_NR-501</t>
  </si>
  <si>
    <t>ITA_N-363_R20-SANTA LUISA_NR-500</t>
  </si>
  <si>
    <t>ITA_N-364_R20-PIGUCHEN 2_NR-652</t>
  </si>
  <si>
    <t>Santa Rosa de Lavaderos 3</t>
  </si>
  <si>
    <t>Buena estrella</t>
  </si>
  <si>
    <t>El Prado</t>
  </si>
  <si>
    <t xml:space="preserve">Villa Francia </t>
  </si>
  <si>
    <t>Los Patos</t>
  </si>
  <si>
    <t>Los Patos 3</t>
  </si>
  <si>
    <t>Santa Rosa de Lavaderos</t>
  </si>
  <si>
    <t>Santa Rosa de Lavaderos 2</t>
  </si>
  <si>
    <t>Villa Cobin</t>
  </si>
  <si>
    <t>El Sandino</t>
  </si>
  <si>
    <t>Los Cristales</t>
  </si>
  <si>
    <t>Santa Blanca</t>
  </si>
  <si>
    <t>Villa Acrópolis</t>
  </si>
  <si>
    <t>La Vega</t>
  </si>
  <si>
    <t xml:space="preserve">Callejón El Maitenal </t>
  </si>
  <si>
    <t>Tricao</t>
  </si>
  <si>
    <t>Itahue 2</t>
  </si>
  <si>
    <t>Itahue 3</t>
  </si>
  <si>
    <t>ITA_N-365_R20-SANTA ROSA DE LAVADEROS 3_NR-528</t>
  </si>
  <si>
    <t>ITA_N-366_R20-BUENA ESTRELLA_NR-228</t>
  </si>
  <si>
    <t>ITA_N-367_R20-SAN RAMÓN_NR-332</t>
  </si>
  <si>
    <t>ITA_N-368_R20-EL PRADO_NR-240</t>
  </si>
  <si>
    <t>ITA_N-369_R20-VILLA FRANCIA_NR-461</t>
  </si>
  <si>
    <t>ITA_N-370_R20-LOS PATOS_NR-185</t>
  </si>
  <si>
    <t>ITA_N-371_R20-LOS PATOS 3_NR-337</t>
  </si>
  <si>
    <t>ITA_N-372_R20-SANTA ROSA_NR-130</t>
  </si>
  <si>
    <t>ITA_N-373_R20-SANTA ROSA DE LAVADEROS_NR-274</t>
  </si>
  <si>
    <t>ITA_N-374_R20-SANTA ROSA DE LAVADEROS 2_NR-285</t>
  </si>
  <si>
    <t>ITA_N-375_R20-LINARES DE PERALES_NR-138</t>
  </si>
  <si>
    <t>ITA_N-376_R20-VILLA COBIN_NR-526</t>
  </si>
  <si>
    <t>ITA_N-377_R20-EL SANDINO_NR-170</t>
  </si>
  <si>
    <t>ITA_N-378_R20-LOS CRISTALES_NR-221</t>
  </si>
  <si>
    <t>ITA_N-379_R20-SANTA BLANCA_NR-221</t>
  </si>
  <si>
    <t>ITA_N-380_R20-VILLA ACROPOLIS_NR-675</t>
  </si>
  <si>
    <t>ITA_N-381_R20-LA VEGA_NR-514</t>
  </si>
  <si>
    <t>ITA_N-382_R20-CALLEJON EL MAITENAL_NR-73</t>
  </si>
  <si>
    <t>ITA_N-383_R20-TRICAO_NR-162</t>
  </si>
  <si>
    <t>ITA_N-384_R20-ITAHUE 2_NR-262</t>
  </si>
  <si>
    <t>ITA_N-385_R20-ITAHUE 3_NR-315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</si>
</sst>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Arial"/>
      <scheme val="minor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2"/>
      <color theme="0"/>
      <name val="Calibri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FE2F3"/>
        <bgColor rgb="FFCFE2F3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7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4" xfId="0" applyFont="1" applyBorder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0" borderId="5" xfId="0" quotePrefix="1" applyFont="1" applyBorder="1"/>
    <xf numFmtId="0" fontId="3" fillId="0" borderId="4" xfId="0" quotePrefix="1" applyFont="1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0" fillId="0" borderId="0" xfId="0" applyFill="1"/>
    <xf numFmtId="0" fontId="3" fillId="0" borderId="8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3" fillId="0" borderId="9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0" fillId="0" borderId="6" xfId="0" applyBorder="1"/>
    <xf numFmtId="0" fontId="8" fillId="4" borderId="6" xfId="1" applyFont="1" applyFill="1" applyBorder="1" applyAlignment="1">
      <alignment horizontal="left" vertical="center"/>
    </xf>
    <xf numFmtId="0" fontId="1" fillId="2" borderId="6" xfId="1" applyFont="1" applyFill="1" applyBorder="1" applyAlignment="1">
      <alignment horizontal="left" vertical="center"/>
    </xf>
    <xf numFmtId="49" fontId="1" fillId="2" borderId="6" xfId="1" applyNumberFormat="1" applyFont="1" applyFill="1" applyBorder="1" applyAlignment="1">
      <alignment horizontal="left" vertical="center"/>
    </xf>
    <xf numFmtId="0" fontId="7" fillId="0" borderId="6" xfId="0" applyFont="1" applyBorder="1"/>
    <xf numFmtId="0" fontId="1" fillId="2" borderId="6" xfId="1" applyFont="1" applyFill="1" applyBorder="1" applyAlignment="1">
      <alignment horizontal="center" vertical="center"/>
    </xf>
    <xf numFmtId="0" fontId="1" fillId="2" borderId="11" xfId="1" applyFont="1" applyFill="1" applyBorder="1" applyAlignment="1">
      <alignment horizontal="left" vertical="center"/>
    </xf>
    <xf numFmtId="1" fontId="0" fillId="0" borderId="6" xfId="0" applyNumberForma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49" fontId="10" fillId="5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4" fontId="3" fillId="0" borderId="10" xfId="0" applyNumberFormat="1" applyFont="1" applyFill="1" applyBorder="1" applyAlignment="1">
      <alignment horizontal="center" vertical="center"/>
    </xf>
    <xf numFmtId="14" fontId="3" fillId="0" borderId="14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0" fillId="5" borderId="3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10" fillId="5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0" xfId="0" applyFill="1" applyAlignment="1"/>
    <xf numFmtId="0" fontId="3" fillId="0" borderId="9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/>
    <xf numFmtId="49" fontId="1" fillId="2" borderId="1" xfId="0" applyNumberFormat="1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5" borderId="5" xfId="0" applyFont="1" applyFill="1" applyBorder="1" applyAlignment="1">
      <alignment vertical="center"/>
    </xf>
    <xf numFmtId="0" fontId="0" fillId="0" borderId="6" xfId="0" applyFill="1" applyBorder="1" applyAlignment="1"/>
    <xf numFmtId="0" fontId="3" fillId="0" borderId="5" xfId="0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8" fillId="4" borderId="6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969"/>
  <sheetViews>
    <sheetView tabSelected="1" zoomScale="80" zoomScaleNormal="80" workbookViewId="0">
      <pane ySplit="1" topLeftCell="A2" activePane="bottomLeft" state="frozen"/>
      <selection pane="bottomLeft" activeCell="A386" sqref="A386"/>
    </sheetView>
  </sheetViews>
  <sheetFormatPr baseColWidth="10" defaultColWidth="12.5703125" defaultRowHeight="12.75" x14ac:dyDescent="0.2"/>
  <cols>
    <col min="1" max="1" width="6" style="16" customWidth="1"/>
    <col min="2" max="2" width="12" style="67" bestFit="1" customWidth="1"/>
    <col min="3" max="3" width="7.140625" customWidth="1"/>
    <col min="4" max="4" width="12.5703125" style="67" customWidth="1"/>
    <col min="5" max="5" width="12.5703125" customWidth="1"/>
    <col min="6" max="6" width="44.7109375" style="67" customWidth="1"/>
    <col min="7" max="7" width="6.28515625" style="67" customWidth="1"/>
    <col min="8" max="8" width="20.42578125" style="67" customWidth="1"/>
    <col min="9" max="9" width="12.42578125" style="67" customWidth="1"/>
    <col min="10" max="10" width="15.140625" style="8" bestFit="1" customWidth="1"/>
    <col min="11" max="11" width="12.5703125" style="8"/>
    <col min="12" max="12" width="7" customWidth="1"/>
    <col min="13" max="13" width="11.5703125" customWidth="1"/>
    <col min="14" max="14" width="32.42578125" style="10" customWidth="1"/>
    <col min="15" max="15" width="8.7109375" style="10" customWidth="1"/>
    <col min="16" max="16" width="12" style="10" bestFit="1" customWidth="1"/>
  </cols>
  <sheetData>
    <row r="1" spans="1:18" ht="15.75" x14ac:dyDescent="0.2">
      <c r="A1" s="11" t="s">
        <v>0</v>
      </c>
      <c r="B1" s="68" t="s">
        <v>2</v>
      </c>
      <c r="C1" s="11" t="s">
        <v>3</v>
      </c>
      <c r="D1" s="56" t="s">
        <v>4</v>
      </c>
      <c r="E1" s="13" t="s">
        <v>5</v>
      </c>
      <c r="F1" s="56" t="s">
        <v>6</v>
      </c>
      <c r="G1" s="56" t="s">
        <v>7</v>
      </c>
      <c r="H1" s="56" t="s">
        <v>8</v>
      </c>
      <c r="I1" s="56" t="s">
        <v>9</v>
      </c>
      <c r="J1" s="14" t="s">
        <v>261</v>
      </c>
      <c r="K1" s="14" t="s">
        <v>262</v>
      </c>
      <c r="L1" s="11" t="s">
        <v>10</v>
      </c>
      <c r="M1" s="11" t="s">
        <v>11</v>
      </c>
      <c r="N1" s="12" t="s">
        <v>244</v>
      </c>
      <c r="O1" s="75" t="s">
        <v>243</v>
      </c>
      <c r="P1" s="52" t="s">
        <v>250</v>
      </c>
      <c r="Q1" s="55" t="s">
        <v>273</v>
      </c>
      <c r="R1" s="55" t="s">
        <v>274</v>
      </c>
    </row>
    <row r="2" spans="1:18" x14ac:dyDescent="0.2">
      <c r="A2" s="41">
        <v>1</v>
      </c>
      <c r="B2" s="69" t="s">
        <v>249</v>
      </c>
      <c r="C2" s="43">
        <v>5</v>
      </c>
      <c r="D2" s="57" t="s">
        <v>275</v>
      </c>
      <c r="E2" s="45" t="s">
        <v>14</v>
      </c>
      <c r="F2" s="74" t="str">
        <f>IF(E2="","",VLOOKUP(E2,Causas!$A$2:$B$90,2,FALSE))</f>
        <v>Quema no avisada con fines de limpieza en canales, cunetas, cercos o caminos (en predios particulares o públicos) que se propaga libre y sin control</v>
      </c>
      <c r="G2" s="70" t="str">
        <f>IF(E2="","",VLOOKUP(E2,Causas!$A$2:$D$90,3,FALSE()))</f>
        <v>4.8</v>
      </c>
      <c r="H2" s="74" t="str">
        <f>IF(E2="","",VLOOKUP(E2,Causas!$A$2:$D$90,4,FALSE()))</f>
        <v>Otras quemas</v>
      </c>
      <c r="I2" s="74" t="str">
        <f>IF(E2="","",VLOOKUP(E2,Causas!$A$2:$E$90,5,FALSE()))</f>
        <v>Negligentes</v>
      </c>
      <c r="J2" s="42">
        <v>269761</v>
      </c>
      <c r="K2" s="44">
        <v>6068526</v>
      </c>
      <c r="L2" s="42">
        <v>1.7</v>
      </c>
      <c r="M2" s="44" t="s">
        <v>276</v>
      </c>
      <c r="N2" s="44" t="s">
        <v>277</v>
      </c>
      <c r="O2" s="31" t="s">
        <v>242</v>
      </c>
      <c r="P2" s="53">
        <v>45916</v>
      </c>
      <c r="Q2" s="40">
        <f>MONTH(P2)</f>
        <v>9</v>
      </c>
      <c r="R2" s="40" t="s">
        <v>276</v>
      </c>
    </row>
    <row r="3" spans="1:18" x14ac:dyDescent="0.2">
      <c r="A3" s="41">
        <v>2</v>
      </c>
      <c r="B3" s="59" t="s">
        <v>259</v>
      </c>
      <c r="C3" s="46">
        <v>6</v>
      </c>
      <c r="D3" s="58" t="s">
        <v>278</v>
      </c>
      <c r="E3" s="48" t="s">
        <v>16</v>
      </c>
      <c r="F3" s="74" t="str">
        <f>IF(E3="","",VLOOKUP(E3,Causas!$A$2:$B$90,2,FALSE))</f>
        <v>Quema no avisada de desechos forestales que se propaga libre y sin control</v>
      </c>
      <c r="G3" s="70" t="str">
        <f>IF(E3="","",VLOOKUP(E3,Causas!$A$2:$D$90,3,FALSE()))</f>
        <v>4.1</v>
      </c>
      <c r="H3" s="74" t="str">
        <f>IF(E3="","",VLOOKUP(E3,Causas!$A$2:$D$90,4,FALSE()))</f>
        <v>Faenas forestales</v>
      </c>
      <c r="I3" s="74" t="str">
        <f>IF(E3="","",VLOOKUP(E3,Causas!$A$2:$E$90,5,FALSE()))</f>
        <v>Negligentes</v>
      </c>
      <c r="J3" s="47">
        <v>710893</v>
      </c>
      <c r="K3" s="46">
        <v>6015439</v>
      </c>
      <c r="L3" s="47">
        <v>0.6</v>
      </c>
      <c r="M3" s="46" t="s">
        <v>276</v>
      </c>
      <c r="N3" s="49" t="s">
        <v>279</v>
      </c>
      <c r="O3" s="31" t="s">
        <v>241</v>
      </c>
      <c r="P3" s="53">
        <v>45924</v>
      </c>
      <c r="Q3" s="40">
        <f t="shared" ref="Q3:Q66" si="0">MONTH(P3)</f>
        <v>9</v>
      </c>
      <c r="R3" s="40" t="s">
        <v>276</v>
      </c>
    </row>
    <row r="4" spans="1:18" x14ac:dyDescent="0.2">
      <c r="A4" s="41">
        <v>3</v>
      </c>
      <c r="B4" s="59" t="s">
        <v>271</v>
      </c>
      <c r="C4" s="46">
        <v>7</v>
      </c>
      <c r="D4" s="58" t="s">
        <v>280</v>
      </c>
      <c r="E4" s="48" t="s">
        <v>134</v>
      </c>
      <c r="F4" s="74" t="str">
        <f>IF(E4="","",VLOOKUP(E4,Causas!$A$2:$B$90,2,FALSE))</f>
        <v>Quema no avisada de desechos agrícolas que se propaga libre y sin control</v>
      </c>
      <c r="G4" s="70" t="str">
        <f>IF(E4="","",VLOOKUP(E4,Causas!$A$2:$D$90,3,FALSE()))</f>
        <v>4.2</v>
      </c>
      <c r="H4" s="74" t="str">
        <f>IF(E4="","",VLOOKUP(E4,Causas!$A$2:$D$90,4,FALSE()))</f>
        <v>Faenas agrícolas y pecuarias</v>
      </c>
      <c r="I4" s="74" t="str">
        <f>IF(E4="","",VLOOKUP(E4,Causas!$A$2:$E$90,5,FALSE()))</f>
        <v>Negligentes</v>
      </c>
      <c r="J4" s="47">
        <v>248592</v>
      </c>
      <c r="K4" s="46">
        <v>5994895</v>
      </c>
      <c r="L4" s="47">
        <v>0.6</v>
      </c>
      <c r="M4" s="46" t="s">
        <v>276</v>
      </c>
      <c r="N4" s="49" t="s">
        <v>281</v>
      </c>
      <c r="O4" s="31" t="s">
        <v>248</v>
      </c>
      <c r="P4" s="53">
        <v>45925</v>
      </c>
      <c r="Q4" s="40">
        <f t="shared" si="0"/>
        <v>9</v>
      </c>
      <c r="R4" s="40" t="s">
        <v>276</v>
      </c>
    </row>
    <row r="5" spans="1:18" x14ac:dyDescent="0.2">
      <c r="A5" s="41">
        <v>4</v>
      </c>
      <c r="B5" s="59" t="s">
        <v>245</v>
      </c>
      <c r="C5" s="46">
        <v>9</v>
      </c>
      <c r="D5" s="58" t="s">
        <v>282</v>
      </c>
      <c r="E5" s="50" t="s">
        <v>21</v>
      </c>
      <c r="F5" s="74" t="str">
        <f>IF(E5="","",VLOOKUP(E5,Causas!$A$2:$B$90,2,FALSE))</f>
        <v>Empleo de fuentes de calor en actividades relacionadas a parcelaciones (asados, tijerales, fogatas, otros)</v>
      </c>
      <c r="G5" s="70" t="str">
        <f>IF(E5="","",VLOOKUP(E5,Causas!$A$2:$D$90,3,FALSE()))</f>
        <v>4.6</v>
      </c>
      <c r="H5" s="74" t="str">
        <f>IF(E5="","",VLOOKUP(E5,Causas!$A$2:$D$90,4,FALSE()))</f>
        <v>Parcelaciones, edificaciones residenciales, industriales u otras en zonas rurales o de interfaz</v>
      </c>
      <c r="I5" s="74" t="str">
        <f>IF(E5="","",VLOOKUP(E5,Causas!$A$2:$E$90,5,FALSE()))</f>
        <v>Negligentes</v>
      </c>
      <c r="J5" s="47">
        <v>255515</v>
      </c>
      <c r="K5" s="46">
        <v>6084357</v>
      </c>
      <c r="L5" s="47">
        <v>0.8</v>
      </c>
      <c r="M5" s="46" t="s">
        <v>283</v>
      </c>
      <c r="N5" s="49" t="s">
        <v>284</v>
      </c>
      <c r="O5" s="31" t="s">
        <v>242</v>
      </c>
      <c r="P5" s="53">
        <v>45929</v>
      </c>
      <c r="Q5" s="40">
        <f t="shared" si="0"/>
        <v>9</v>
      </c>
      <c r="R5" s="40" t="s">
        <v>276</v>
      </c>
    </row>
    <row r="6" spans="1:18" x14ac:dyDescent="0.2">
      <c r="A6" s="41">
        <v>5</v>
      </c>
      <c r="B6" s="59" t="s">
        <v>242</v>
      </c>
      <c r="C6" s="46">
        <v>11</v>
      </c>
      <c r="D6" s="58" t="s">
        <v>285</v>
      </c>
      <c r="E6" s="50" t="s">
        <v>14</v>
      </c>
      <c r="F6" s="74" t="str">
        <f>IF(E6="","",VLOOKUP(E6,Causas!$A$2:$B$90,2,FALSE))</f>
        <v>Quema no avisada con fines de limpieza en canales, cunetas, cercos o caminos (en predios particulares o públicos) que se propaga libre y sin control</v>
      </c>
      <c r="G6" s="70" t="str">
        <f>IF(E6="","",VLOOKUP(E6,Causas!$A$2:$D$90,3,FALSE()))</f>
        <v>4.8</v>
      </c>
      <c r="H6" s="74" t="str">
        <f>IF(E6="","",VLOOKUP(E6,Causas!$A$2:$D$90,4,FALSE()))</f>
        <v>Otras quemas</v>
      </c>
      <c r="I6" s="74" t="str">
        <f>IF(E6="","",VLOOKUP(E6,Causas!$A$2:$E$90,5,FALSE()))</f>
        <v>Negligentes</v>
      </c>
      <c r="J6" s="47">
        <v>261374</v>
      </c>
      <c r="K6" s="46">
        <v>6072852</v>
      </c>
      <c r="L6" s="47">
        <v>0.5</v>
      </c>
      <c r="M6" s="46" t="s">
        <v>283</v>
      </c>
      <c r="N6" s="49" t="s">
        <v>286</v>
      </c>
      <c r="O6" s="31" t="s">
        <v>242</v>
      </c>
      <c r="P6" s="53">
        <v>45930</v>
      </c>
      <c r="Q6" s="40">
        <f t="shared" si="0"/>
        <v>9</v>
      </c>
      <c r="R6" s="40" t="s">
        <v>276</v>
      </c>
    </row>
    <row r="7" spans="1:18" x14ac:dyDescent="0.2">
      <c r="A7" s="41">
        <v>6</v>
      </c>
      <c r="B7" s="59" t="s">
        <v>269</v>
      </c>
      <c r="C7" s="46">
        <v>14</v>
      </c>
      <c r="D7" s="58" t="s">
        <v>287</v>
      </c>
      <c r="E7" s="48" t="s">
        <v>148</v>
      </c>
      <c r="F7" s="74" t="str">
        <f>IF(E7="","",VLOOKUP(E7,Causas!$A$2:$B$90,2,FALSE))</f>
        <v>Otras causas negligentes no clasificadas en faenas agrícolas y pecuarias</v>
      </c>
      <c r="G7" s="70" t="str">
        <f>IF(E7="","",VLOOKUP(E7,Causas!$A$2:$D$90,3,FALSE()))</f>
        <v>4.2</v>
      </c>
      <c r="H7" s="74" t="str">
        <f>IF(E7="","",VLOOKUP(E7,Causas!$A$2:$D$90,4,FALSE()))</f>
        <v>Faenas agrícolas y pecuarias</v>
      </c>
      <c r="I7" s="74" t="str">
        <f>IF(E7="","",VLOOKUP(E7,Causas!$A$2:$E$90,5,FALSE()))</f>
        <v>Negligentes</v>
      </c>
      <c r="J7" s="47">
        <v>317177</v>
      </c>
      <c r="K7" s="46">
        <v>6137223</v>
      </c>
      <c r="L7" s="47">
        <v>0.5</v>
      </c>
      <c r="M7" s="46" t="s">
        <v>283</v>
      </c>
      <c r="N7" s="49" t="s">
        <v>288</v>
      </c>
      <c r="O7" s="31" t="s">
        <v>253</v>
      </c>
      <c r="P7" s="53">
        <v>45947</v>
      </c>
      <c r="Q7" s="40">
        <f t="shared" si="0"/>
        <v>10</v>
      </c>
      <c r="R7" s="40"/>
    </row>
    <row r="8" spans="1:18" x14ac:dyDescent="0.2">
      <c r="A8" s="41">
        <v>7</v>
      </c>
      <c r="B8" s="59" t="s">
        <v>252</v>
      </c>
      <c r="C8" s="46">
        <v>19</v>
      </c>
      <c r="D8" s="58" t="s">
        <v>289</v>
      </c>
      <c r="E8" s="48" t="s">
        <v>134</v>
      </c>
      <c r="F8" s="74" t="str">
        <f>IF(E8="","",VLOOKUP(E8,Causas!$A$2:$B$90,2,FALSE))</f>
        <v>Quema no avisada de desechos agrícolas que se propaga libre y sin control</v>
      </c>
      <c r="G8" s="70" t="str">
        <f>IF(E8="","",VLOOKUP(E8,Causas!$A$2:$D$90,3,FALSE()))</f>
        <v>4.2</v>
      </c>
      <c r="H8" s="74" t="str">
        <f>IF(E8="","",VLOOKUP(E8,Causas!$A$2:$D$90,4,FALSE()))</f>
        <v>Faenas agrícolas y pecuarias</v>
      </c>
      <c r="I8" s="74" t="str">
        <f>IF(E8="","",VLOOKUP(E8,Causas!$A$2:$E$90,5,FALSE()))</f>
        <v>Negligentes</v>
      </c>
      <c r="J8" s="47">
        <v>258197</v>
      </c>
      <c r="K8" s="46">
        <v>6111756</v>
      </c>
      <c r="L8" s="47">
        <v>1.75</v>
      </c>
      <c r="M8" s="46" t="s">
        <v>283</v>
      </c>
      <c r="N8" s="49" t="s">
        <v>290</v>
      </c>
      <c r="O8" s="31" t="s">
        <v>253</v>
      </c>
      <c r="P8" s="53">
        <v>45950</v>
      </c>
      <c r="Q8" s="40">
        <f t="shared" si="0"/>
        <v>10</v>
      </c>
      <c r="R8" s="40"/>
    </row>
    <row r="9" spans="1:18" x14ac:dyDescent="0.2">
      <c r="A9" s="41">
        <v>8</v>
      </c>
      <c r="B9" s="59" t="s">
        <v>252</v>
      </c>
      <c r="C9" s="46">
        <v>20</v>
      </c>
      <c r="D9" s="58" t="s">
        <v>291</v>
      </c>
      <c r="E9" s="48" t="s">
        <v>185</v>
      </c>
      <c r="F9" s="74" t="str">
        <f>IF(E9="","",VLOOKUP(E9,Causas!$A$2:$B$90,2,FALSE))</f>
        <v>Empleo de fuentes de calor para eliminación de fauna  (roedores, reptiles, avispas, otros)</v>
      </c>
      <c r="G9" s="70" t="str">
        <f>IF(E9="","",VLOOKUP(E9,Causas!$A$2:$D$90,3,FALSE()))</f>
        <v>4.8</v>
      </c>
      <c r="H9" s="74" t="str">
        <f>IF(E9="","",VLOOKUP(E9,Causas!$A$2:$D$90,4,FALSE()))</f>
        <v>Otras quemas</v>
      </c>
      <c r="I9" s="74" t="str">
        <f>IF(E9="","",VLOOKUP(E9,Causas!$A$2:$E$90,5,FALSE()))</f>
        <v>Negligentes</v>
      </c>
      <c r="J9" s="47">
        <v>256366</v>
      </c>
      <c r="K9" s="46">
        <v>6111056</v>
      </c>
      <c r="L9" s="47">
        <v>0.3</v>
      </c>
      <c r="M9" s="46" t="s">
        <v>283</v>
      </c>
      <c r="N9" s="49" t="s">
        <v>292</v>
      </c>
      <c r="O9" s="31" t="s">
        <v>253</v>
      </c>
      <c r="P9" s="53">
        <v>45950</v>
      </c>
      <c r="Q9" s="40">
        <f t="shared" si="0"/>
        <v>10</v>
      </c>
      <c r="R9" s="40"/>
    </row>
    <row r="10" spans="1:18" x14ac:dyDescent="0.2">
      <c r="A10" s="41">
        <v>9</v>
      </c>
      <c r="B10" s="59" t="s">
        <v>241</v>
      </c>
      <c r="C10" s="46">
        <v>23</v>
      </c>
      <c r="D10" s="58" t="s">
        <v>293</v>
      </c>
      <c r="E10" s="48" t="s">
        <v>93</v>
      </c>
      <c r="F10" s="74" t="str">
        <f>IF(E10="","",VLOOKUP(E10,Causas!$A$2:$B$90,2,FALSE))</f>
        <v>Provocado, no se identifica la motivación</v>
      </c>
      <c r="G10" s="70" t="str">
        <f>IF(E10="","",VLOOKUP(E10,Causas!$A$2:$D$90,3,FALSE()))</f>
        <v>2.1</v>
      </c>
      <c r="H10" s="74" t="str">
        <f>IF(E10="","",VLOOKUP(E10,Causas!$A$2:$D$90,4,FALSE()))</f>
        <v>Incendios intencionales</v>
      </c>
      <c r="I10" s="74" t="str">
        <f>IF(E10="","",VLOOKUP(E10,Causas!$A$2:$E$90,5,FALSE()))</f>
        <v>Intencionales</v>
      </c>
      <c r="J10" s="47">
        <v>736662</v>
      </c>
      <c r="K10" s="46">
        <v>6022384</v>
      </c>
      <c r="L10" s="47">
        <v>1.1000000000000001</v>
      </c>
      <c r="M10" s="46" t="s">
        <v>283</v>
      </c>
      <c r="N10" s="49" t="s">
        <v>294</v>
      </c>
      <c r="O10" s="31" t="s">
        <v>241</v>
      </c>
      <c r="P10" s="53">
        <v>45952</v>
      </c>
      <c r="Q10" s="40">
        <f t="shared" si="0"/>
        <v>10</v>
      </c>
      <c r="R10" s="40"/>
    </row>
    <row r="11" spans="1:18" x14ac:dyDescent="0.2">
      <c r="A11" s="41">
        <v>10</v>
      </c>
      <c r="B11" s="59" t="s">
        <v>259</v>
      </c>
      <c r="C11" s="46">
        <v>21</v>
      </c>
      <c r="D11" s="58" t="s">
        <v>295</v>
      </c>
      <c r="E11" s="50" t="s">
        <v>223</v>
      </c>
      <c r="F11" s="74" t="str">
        <f>IF(E11="","",VLOOKUP(E11,Causas!$A$2:$B$90,2,FALSE))</f>
        <v>Otras actividades negligentes no clasificadas</v>
      </c>
      <c r="G11" s="70" t="str">
        <f>IF(E11="","",VLOOKUP(E11,Causas!$A$2:$D$90,3,FALSE()))</f>
        <v>4.10</v>
      </c>
      <c r="H11" s="74" t="str">
        <f>IF(E11="","",VLOOKUP(E11,Causas!$A$2:$D$90,4,FALSE()))</f>
        <v>Otras causas</v>
      </c>
      <c r="I11" s="74" t="str">
        <f>IF(E11="","",VLOOKUP(E11,Causas!$A$2:$E$90,5,FALSE()))</f>
        <v>Negligentes</v>
      </c>
      <c r="J11" s="47">
        <v>711105</v>
      </c>
      <c r="K11" s="46">
        <v>6024701</v>
      </c>
      <c r="L11" s="51">
        <v>1</v>
      </c>
      <c r="M11" s="46" t="s">
        <v>283</v>
      </c>
      <c r="N11" s="46" t="s">
        <v>296</v>
      </c>
      <c r="O11" s="31" t="s">
        <v>241</v>
      </c>
      <c r="P11" s="53">
        <v>45951</v>
      </c>
      <c r="Q11" s="40">
        <f t="shared" si="0"/>
        <v>10</v>
      </c>
      <c r="R11" s="40"/>
    </row>
    <row r="12" spans="1:18" x14ac:dyDescent="0.2">
      <c r="A12" s="41">
        <v>11</v>
      </c>
      <c r="B12" s="59" t="s">
        <v>265</v>
      </c>
      <c r="C12" s="46">
        <v>33</v>
      </c>
      <c r="D12" s="58" t="s">
        <v>297</v>
      </c>
      <c r="E12" s="50" t="s">
        <v>144</v>
      </c>
      <c r="F12" s="74" t="str">
        <f>IF(E12="","",VLOOKUP(E12,Causas!$A$2:$B$90,2,FALSE))</f>
        <v>Quema avisada de desechos agrícolas  mal ejecutada que se propaga libre y sin control (según plan de quema y/o aviso de quemas)</v>
      </c>
      <c r="G12" s="70" t="str">
        <f>IF(E12="","",VLOOKUP(E12,Causas!$A$2:$D$90,3,FALSE()))</f>
        <v>4.2</v>
      </c>
      <c r="H12" s="74" t="str">
        <f>IF(E12="","",VLOOKUP(E12,Causas!$A$2:$D$90,4,FALSE()))</f>
        <v>Faenas agrícolas y pecuarias</v>
      </c>
      <c r="I12" s="74" t="str">
        <f>IF(E12="","",VLOOKUP(E12,Causas!$A$2:$E$90,5,FALSE()))</f>
        <v>Negligentes</v>
      </c>
      <c r="J12" s="47">
        <v>260770</v>
      </c>
      <c r="K12" s="46">
        <v>6038159</v>
      </c>
      <c r="L12" s="51">
        <v>0.5</v>
      </c>
      <c r="M12" s="46" t="s">
        <v>283</v>
      </c>
      <c r="N12" s="46" t="s">
        <v>298</v>
      </c>
      <c r="O12" s="31" t="s">
        <v>248</v>
      </c>
      <c r="P12" s="53">
        <v>45956</v>
      </c>
      <c r="Q12" s="40">
        <f t="shared" si="0"/>
        <v>10</v>
      </c>
      <c r="R12" s="40"/>
    </row>
    <row r="13" spans="1:18" x14ac:dyDescent="0.2">
      <c r="A13" s="41">
        <v>12</v>
      </c>
      <c r="B13" s="59" t="s">
        <v>247</v>
      </c>
      <c r="C13" s="46">
        <v>37</v>
      </c>
      <c r="D13" s="58" t="s">
        <v>299</v>
      </c>
      <c r="E13" s="50" t="s">
        <v>148</v>
      </c>
      <c r="F13" s="74" t="str">
        <f>IF(E13="","",VLOOKUP(E13,Causas!$A$2:$B$90,2,FALSE))</f>
        <v>Otras causas negligentes no clasificadas en faenas agrícolas y pecuarias</v>
      </c>
      <c r="G13" s="70" t="str">
        <f>IF(E13="","",VLOOKUP(E13,Causas!$A$2:$D$90,3,FALSE()))</f>
        <v>4.2</v>
      </c>
      <c r="H13" s="74" t="str">
        <f>IF(E13="","",VLOOKUP(E13,Causas!$A$2:$D$90,4,FALSE()))</f>
        <v>Faenas agrícolas y pecuarias</v>
      </c>
      <c r="I13" s="74" t="str">
        <f>IF(E13="","",VLOOKUP(E13,Causas!$A$2:$E$90,5,FALSE()))</f>
        <v>Negligentes</v>
      </c>
      <c r="J13" s="47">
        <v>259646</v>
      </c>
      <c r="K13" s="46">
        <v>6003027</v>
      </c>
      <c r="L13" s="51">
        <v>0.2</v>
      </c>
      <c r="M13" s="46" t="s">
        <v>283</v>
      </c>
      <c r="N13" s="46" t="s">
        <v>300</v>
      </c>
      <c r="O13" s="31" t="s">
        <v>248</v>
      </c>
      <c r="P13" s="53">
        <v>45958</v>
      </c>
      <c r="Q13" s="40">
        <f t="shared" si="0"/>
        <v>10</v>
      </c>
      <c r="R13" s="40"/>
    </row>
    <row r="14" spans="1:18" x14ac:dyDescent="0.2">
      <c r="A14" s="41">
        <v>13</v>
      </c>
      <c r="B14" s="59" t="s">
        <v>260</v>
      </c>
      <c r="C14" s="46">
        <v>28</v>
      </c>
      <c r="D14" s="58" t="s">
        <v>301</v>
      </c>
      <c r="E14" s="50" t="s">
        <v>148</v>
      </c>
      <c r="F14" s="74" t="str">
        <f>IF(E14="","",VLOOKUP(E14,Causas!$A$2:$B$90,2,FALSE))</f>
        <v>Otras causas negligentes no clasificadas en faenas agrícolas y pecuarias</v>
      </c>
      <c r="G14" s="70" t="str">
        <f>IF(E14="","",VLOOKUP(E14,Causas!$A$2:$D$90,3,FALSE()))</f>
        <v>4.2</v>
      </c>
      <c r="H14" s="74" t="str">
        <f>IF(E14="","",VLOOKUP(E14,Causas!$A$2:$D$90,4,FALSE()))</f>
        <v>Faenas agrícolas y pecuarias</v>
      </c>
      <c r="I14" s="74" t="str">
        <f>IF(E14="","",VLOOKUP(E14,Causas!$A$2:$E$90,5,FALSE()))</f>
        <v>Negligentes</v>
      </c>
      <c r="J14" s="47">
        <v>317629</v>
      </c>
      <c r="K14" s="46">
        <v>6129030</v>
      </c>
      <c r="L14" s="51">
        <v>0.03</v>
      </c>
      <c r="M14" s="46" t="s">
        <v>283</v>
      </c>
      <c r="N14" s="46" t="s">
        <v>302</v>
      </c>
      <c r="O14" s="31" t="s">
        <v>253</v>
      </c>
      <c r="P14" s="53">
        <v>45954</v>
      </c>
      <c r="Q14" s="40">
        <f t="shared" si="0"/>
        <v>10</v>
      </c>
      <c r="R14" s="40"/>
    </row>
    <row r="15" spans="1:18" x14ac:dyDescent="0.2">
      <c r="A15" s="41">
        <v>14</v>
      </c>
      <c r="B15" s="59" t="s">
        <v>260</v>
      </c>
      <c r="C15" s="46">
        <v>42</v>
      </c>
      <c r="D15" s="58" t="s">
        <v>303</v>
      </c>
      <c r="E15" s="50" t="s">
        <v>148</v>
      </c>
      <c r="F15" s="74" t="str">
        <f>IF(E15="","",VLOOKUP(E15,Causas!$A$2:$B$90,2,FALSE))</f>
        <v>Otras causas negligentes no clasificadas en faenas agrícolas y pecuarias</v>
      </c>
      <c r="G15" s="70" t="str">
        <f>IF(E15="","",VLOOKUP(E15,Causas!$A$2:$D$90,3,FALSE()))</f>
        <v>4.2</v>
      </c>
      <c r="H15" s="74" t="str">
        <f>IF(E15="","",VLOOKUP(E15,Causas!$A$2:$D$90,4,FALSE()))</f>
        <v>Faenas agrícolas y pecuarias</v>
      </c>
      <c r="I15" s="74" t="str">
        <f>IF(E15="","",VLOOKUP(E15,Causas!$A$2:$E$90,5,FALSE()))</f>
        <v>Negligentes</v>
      </c>
      <c r="J15" s="47">
        <v>308416</v>
      </c>
      <c r="K15" s="46">
        <v>6128439</v>
      </c>
      <c r="L15" s="51">
        <v>0.47</v>
      </c>
      <c r="M15" s="46" t="s">
        <v>283</v>
      </c>
      <c r="N15" s="46" t="s">
        <v>304</v>
      </c>
      <c r="O15" s="31" t="s">
        <v>253</v>
      </c>
      <c r="P15" s="53">
        <v>45959</v>
      </c>
      <c r="Q15" s="40">
        <f t="shared" si="0"/>
        <v>10</v>
      </c>
      <c r="R15" s="40"/>
    </row>
    <row r="16" spans="1:18" x14ac:dyDescent="0.2">
      <c r="A16" s="41">
        <v>15</v>
      </c>
      <c r="B16" s="59" t="s">
        <v>246</v>
      </c>
      <c r="C16" s="47">
        <v>34</v>
      </c>
      <c r="D16" s="59" t="s">
        <v>305</v>
      </c>
      <c r="E16" s="50" t="s">
        <v>21</v>
      </c>
      <c r="F16" s="74" t="str">
        <f>IF(E16="","",VLOOKUP(E16,Causas!$A$2:$B$90,2,FALSE))</f>
        <v>Empleo de fuentes de calor en actividades relacionadas a parcelaciones (asados, tijerales, fogatas, otros)</v>
      </c>
      <c r="G16" s="70" t="str">
        <f>IF(E16="","",VLOOKUP(E16,Causas!$A$2:$D$90,3,FALSE()))</f>
        <v>4.6</v>
      </c>
      <c r="H16" s="74" t="str">
        <f>IF(E16="","",VLOOKUP(E16,Causas!$A$2:$D$90,4,FALSE()))</f>
        <v>Parcelaciones, edificaciones residenciales, industriales u otras en zonas rurales o de interfaz</v>
      </c>
      <c r="I16" s="74" t="str">
        <f>IF(E16="","",VLOOKUP(E16,Causas!$A$2:$E$90,5,FALSE()))</f>
        <v>Negligentes</v>
      </c>
      <c r="J16" s="47">
        <v>294000</v>
      </c>
      <c r="K16" s="46">
        <v>6107904</v>
      </c>
      <c r="L16" s="47">
        <v>0.2</v>
      </c>
      <c r="M16" s="46" t="s">
        <v>306</v>
      </c>
      <c r="N16" s="46" t="s">
        <v>307</v>
      </c>
      <c r="O16" s="31" t="s">
        <v>253</v>
      </c>
      <c r="P16" s="53">
        <v>45956</v>
      </c>
      <c r="Q16" s="40">
        <f t="shared" si="0"/>
        <v>10</v>
      </c>
      <c r="R16" s="40"/>
    </row>
    <row r="17" spans="1:18" x14ac:dyDescent="0.2">
      <c r="A17" s="41">
        <v>16</v>
      </c>
      <c r="B17" s="59" t="s">
        <v>246</v>
      </c>
      <c r="C17" s="46">
        <v>44</v>
      </c>
      <c r="D17" s="58" t="s">
        <v>308</v>
      </c>
      <c r="E17" s="50" t="s">
        <v>148</v>
      </c>
      <c r="F17" s="74" t="str">
        <f>IF(E17="","",VLOOKUP(E17,Causas!$A$2:$B$90,2,FALSE))</f>
        <v>Otras causas negligentes no clasificadas en faenas agrícolas y pecuarias</v>
      </c>
      <c r="G17" s="70" t="str">
        <f>IF(E17="","",VLOOKUP(E17,Causas!$A$2:$D$90,3,FALSE()))</f>
        <v>4.2</v>
      </c>
      <c r="H17" s="74" t="str">
        <f>IF(E17="","",VLOOKUP(E17,Causas!$A$2:$D$90,4,FALSE()))</f>
        <v>Faenas agrícolas y pecuarias</v>
      </c>
      <c r="I17" s="74" t="str">
        <f>IF(E17="","",VLOOKUP(E17,Causas!$A$2:$E$90,5,FALSE()))</f>
        <v>Negligentes</v>
      </c>
      <c r="J17" s="47">
        <v>283407</v>
      </c>
      <c r="K17" s="46">
        <v>6107447</v>
      </c>
      <c r="L17" s="47">
        <v>0.5</v>
      </c>
      <c r="M17" s="46" t="s">
        <v>306</v>
      </c>
      <c r="N17" s="46" t="s">
        <v>309</v>
      </c>
      <c r="O17" s="31" t="s">
        <v>253</v>
      </c>
      <c r="P17" s="53">
        <v>45960</v>
      </c>
      <c r="Q17" s="40">
        <f t="shared" si="0"/>
        <v>10</v>
      </c>
      <c r="R17" s="40"/>
    </row>
    <row r="18" spans="1:18" x14ac:dyDescent="0.2">
      <c r="A18" s="41">
        <v>17</v>
      </c>
      <c r="B18" s="59" t="s">
        <v>257</v>
      </c>
      <c r="C18" s="46">
        <v>45</v>
      </c>
      <c r="D18" s="58" t="s">
        <v>310</v>
      </c>
      <c r="E18" s="48" t="s">
        <v>93</v>
      </c>
      <c r="F18" s="74" t="str">
        <f>IF(E18="","",VLOOKUP(E18,Causas!$A$2:$B$90,2,FALSE))</f>
        <v>Provocado, no se identifica la motivación</v>
      </c>
      <c r="G18" s="70" t="str">
        <f>IF(E18="","",VLOOKUP(E18,Causas!$A$2:$D$90,3,FALSE()))</f>
        <v>2.1</v>
      </c>
      <c r="H18" s="74" t="str">
        <f>IF(E18="","",VLOOKUP(E18,Causas!$A$2:$D$90,4,FALSE()))</f>
        <v>Incendios intencionales</v>
      </c>
      <c r="I18" s="74" t="str">
        <f>IF(E18="","",VLOOKUP(E18,Causas!$A$2:$E$90,5,FALSE()))</f>
        <v>Intencionales</v>
      </c>
      <c r="J18" s="47">
        <v>277237</v>
      </c>
      <c r="K18" s="46">
        <v>6098686</v>
      </c>
      <c r="L18" s="47">
        <v>0.2</v>
      </c>
      <c r="M18" s="46" t="s">
        <v>306</v>
      </c>
      <c r="N18" s="46" t="s">
        <v>311</v>
      </c>
      <c r="O18" s="31" t="s">
        <v>242</v>
      </c>
      <c r="P18" s="53">
        <v>45960</v>
      </c>
      <c r="Q18" s="40">
        <f t="shared" si="0"/>
        <v>10</v>
      </c>
      <c r="R18" s="40"/>
    </row>
    <row r="19" spans="1:18" x14ac:dyDescent="0.2">
      <c r="A19" s="41">
        <v>18</v>
      </c>
      <c r="B19" s="59" t="s">
        <v>258</v>
      </c>
      <c r="C19" s="46">
        <v>55</v>
      </c>
      <c r="D19" s="58" t="s">
        <v>312</v>
      </c>
      <c r="E19" s="48" t="s">
        <v>14</v>
      </c>
      <c r="F19" s="74" t="str">
        <f>IF(E19="","",VLOOKUP(E19,Causas!$A$2:$B$90,2,FALSE))</f>
        <v>Quema no avisada con fines de limpieza en canales, cunetas, cercos o caminos (en predios particulares o públicos) que se propaga libre y sin control</v>
      </c>
      <c r="G19" s="70" t="str">
        <f>IF(E19="","",VLOOKUP(E19,Causas!$A$2:$D$90,3,FALSE()))</f>
        <v>4.8</v>
      </c>
      <c r="H19" s="74" t="str">
        <f>IF(E19="","",VLOOKUP(E19,Causas!$A$2:$D$90,4,FALSE()))</f>
        <v>Otras quemas</v>
      </c>
      <c r="I19" s="74" t="str">
        <f>IF(E19="","",VLOOKUP(E19,Causas!$A$2:$E$90,5,FALSE()))</f>
        <v>Negligentes</v>
      </c>
      <c r="J19" s="47">
        <v>254865</v>
      </c>
      <c r="K19" s="46">
        <v>6002478</v>
      </c>
      <c r="L19" s="47">
        <v>0.2</v>
      </c>
      <c r="M19" s="46" t="s">
        <v>306</v>
      </c>
      <c r="N19" s="46" t="s">
        <v>313</v>
      </c>
      <c r="O19" s="31" t="s">
        <v>248</v>
      </c>
      <c r="P19" s="53">
        <v>45964</v>
      </c>
      <c r="Q19" s="40">
        <f t="shared" si="0"/>
        <v>11</v>
      </c>
      <c r="R19" s="40"/>
    </row>
    <row r="20" spans="1:18" x14ac:dyDescent="0.2">
      <c r="A20" s="41">
        <v>19</v>
      </c>
      <c r="B20" s="59" t="s">
        <v>258</v>
      </c>
      <c r="C20" s="46">
        <v>46</v>
      </c>
      <c r="D20" s="58" t="s">
        <v>314</v>
      </c>
      <c r="E20" s="48" t="s">
        <v>148</v>
      </c>
      <c r="F20" s="74" t="str">
        <f>IF(E20="","",VLOOKUP(E20,Causas!$A$2:$B$90,2,FALSE))</f>
        <v>Otras causas negligentes no clasificadas en faenas agrícolas y pecuarias</v>
      </c>
      <c r="G20" s="70" t="str">
        <f>IF(E20="","",VLOOKUP(E20,Causas!$A$2:$D$90,3,FALSE()))</f>
        <v>4.2</v>
      </c>
      <c r="H20" s="74" t="str">
        <f>IF(E20="","",VLOOKUP(E20,Causas!$A$2:$D$90,4,FALSE()))</f>
        <v>Faenas agrícolas y pecuarias</v>
      </c>
      <c r="I20" s="74" t="str">
        <f>IF(E20="","",VLOOKUP(E20,Causas!$A$2:$E$90,5,FALSE()))</f>
        <v>Negligentes</v>
      </c>
      <c r="J20" s="51">
        <v>256162</v>
      </c>
      <c r="K20" s="49">
        <v>6002688</v>
      </c>
      <c r="L20" s="47">
        <v>0.15</v>
      </c>
      <c r="M20" s="46" t="s">
        <v>306</v>
      </c>
      <c r="N20" s="46" t="s">
        <v>315</v>
      </c>
      <c r="O20" s="31" t="s">
        <v>248</v>
      </c>
      <c r="P20" s="53">
        <v>45961</v>
      </c>
      <c r="Q20" s="40">
        <f t="shared" si="0"/>
        <v>10</v>
      </c>
      <c r="R20" s="40"/>
    </row>
    <row r="21" spans="1:18" x14ac:dyDescent="0.2">
      <c r="A21" s="41">
        <v>20</v>
      </c>
      <c r="B21" s="59" t="s">
        <v>247</v>
      </c>
      <c r="C21" s="46">
        <v>57</v>
      </c>
      <c r="D21" s="58" t="s">
        <v>316</v>
      </c>
      <c r="E21" s="48" t="s">
        <v>148</v>
      </c>
      <c r="F21" s="74" t="str">
        <f>IF(E21="","",VLOOKUP(E21,Causas!$A$2:$B$90,2,FALSE))</f>
        <v>Otras causas negligentes no clasificadas en faenas agrícolas y pecuarias</v>
      </c>
      <c r="G21" s="70" t="str">
        <f>IF(E21="","",VLOOKUP(E21,Causas!$A$2:$D$90,3,FALSE()))</f>
        <v>4.2</v>
      </c>
      <c r="H21" s="74" t="str">
        <f>IF(E21="","",VLOOKUP(E21,Causas!$A$2:$D$90,4,FALSE()))</f>
        <v>Faenas agrícolas y pecuarias</v>
      </c>
      <c r="I21" s="74" t="str">
        <f>IF(E21="","",VLOOKUP(E21,Causas!$A$2:$E$90,5,FALSE()))</f>
        <v>Negligentes</v>
      </c>
      <c r="J21" s="47">
        <v>262049</v>
      </c>
      <c r="K21" s="46">
        <v>5999722</v>
      </c>
      <c r="L21" s="47">
        <v>0.3</v>
      </c>
      <c r="M21" s="46" t="s">
        <v>306</v>
      </c>
      <c r="N21" s="46" t="s">
        <v>317</v>
      </c>
      <c r="O21" s="31" t="s">
        <v>248</v>
      </c>
      <c r="P21" s="53">
        <v>45965</v>
      </c>
      <c r="Q21" s="40">
        <f t="shared" si="0"/>
        <v>11</v>
      </c>
      <c r="R21" s="40"/>
    </row>
    <row r="22" spans="1:18" x14ac:dyDescent="0.2">
      <c r="A22" s="41">
        <v>21</v>
      </c>
      <c r="B22" s="59" t="s">
        <v>15</v>
      </c>
      <c r="C22" s="46">
        <v>38</v>
      </c>
      <c r="D22" s="58" t="s">
        <v>318</v>
      </c>
      <c r="E22" s="48" t="s">
        <v>14</v>
      </c>
      <c r="F22" s="74" t="str">
        <f>IF(E22="","",VLOOKUP(E22,Causas!$A$2:$B$90,2,FALSE))</f>
        <v>Quema no avisada con fines de limpieza en canales, cunetas, cercos o caminos (en predios particulares o públicos) que se propaga libre y sin control</v>
      </c>
      <c r="G22" s="70" t="str">
        <f>IF(E22="","",VLOOKUP(E22,Causas!$A$2:$D$90,3,FALSE()))</f>
        <v>4.8</v>
      </c>
      <c r="H22" s="74" t="str">
        <f>IF(E22="","",VLOOKUP(E22,Causas!$A$2:$D$90,4,FALSE()))</f>
        <v>Otras quemas</v>
      </c>
      <c r="I22" s="74" t="str">
        <f>IF(E22="","",VLOOKUP(E22,Causas!$A$2:$E$90,5,FALSE()))</f>
        <v>Negligentes</v>
      </c>
      <c r="J22" s="47">
        <v>725013</v>
      </c>
      <c r="K22" s="46">
        <v>6042207</v>
      </c>
      <c r="L22" s="47">
        <v>0.5</v>
      </c>
      <c r="M22" s="46" t="s">
        <v>306</v>
      </c>
      <c r="N22" s="46" t="s">
        <v>319</v>
      </c>
      <c r="O22" s="31" t="s">
        <v>241</v>
      </c>
      <c r="P22" s="53">
        <v>45958</v>
      </c>
      <c r="Q22" s="40">
        <f t="shared" si="0"/>
        <v>10</v>
      </c>
      <c r="R22" s="40"/>
    </row>
    <row r="23" spans="1:18" x14ac:dyDescent="0.2">
      <c r="A23" s="41">
        <v>22</v>
      </c>
      <c r="B23" s="70" t="s">
        <v>15</v>
      </c>
      <c r="C23" s="46">
        <v>30</v>
      </c>
      <c r="D23" s="59" t="s">
        <v>320</v>
      </c>
      <c r="E23" s="48" t="s">
        <v>14</v>
      </c>
      <c r="F23" s="74" t="str">
        <f>IF(E23="","",VLOOKUP(E23,Causas!$A$2:$B$90,2,FALSE))</f>
        <v>Quema no avisada con fines de limpieza en canales, cunetas, cercos o caminos (en predios particulares o públicos) que se propaga libre y sin control</v>
      </c>
      <c r="G23" s="70" t="str">
        <f>IF(E23="","",VLOOKUP(E23,Causas!$A$2:$D$90,3,FALSE()))</f>
        <v>4.8</v>
      </c>
      <c r="H23" s="74" t="str">
        <f>IF(E23="","",VLOOKUP(E23,Causas!$A$2:$D$90,4,FALSE()))</f>
        <v>Otras quemas</v>
      </c>
      <c r="I23" s="74" t="str">
        <f>IF(E23="","",VLOOKUP(E23,Causas!$A$2:$E$90,5,FALSE()))</f>
        <v>Negligentes</v>
      </c>
      <c r="J23" s="46">
        <v>721924</v>
      </c>
      <c r="K23" s="46">
        <v>6055670</v>
      </c>
      <c r="L23" s="47">
        <v>0.5</v>
      </c>
      <c r="M23" s="46" t="s">
        <v>306</v>
      </c>
      <c r="N23" s="46" t="s">
        <v>321</v>
      </c>
      <c r="O23" s="31" t="s">
        <v>241</v>
      </c>
      <c r="P23" s="53">
        <v>45955</v>
      </c>
      <c r="Q23" s="40">
        <f t="shared" si="0"/>
        <v>10</v>
      </c>
      <c r="R23" s="40"/>
    </row>
    <row r="24" spans="1:18" x14ac:dyDescent="0.2">
      <c r="A24" s="41">
        <v>23</v>
      </c>
      <c r="B24" s="59" t="s">
        <v>253</v>
      </c>
      <c r="C24" s="46">
        <v>61</v>
      </c>
      <c r="D24" s="59" t="s">
        <v>322</v>
      </c>
      <c r="E24" s="48" t="s">
        <v>134</v>
      </c>
      <c r="F24" s="74" t="str">
        <f>IF(E24="","",VLOOKUP(E24,Causas!$A$2:$B$90,2,FALSE))</f>
        <v>Quema no avisada de desechos agrícolas que se propaga libre y sin control</v>
      </c>
      <c r="G24" s="70" t="str">
        <f>IF(E24="","",VLOOKUP(E24,Causas!$A$2:$D$90,3,FALSE()))</f>
        <v>4.2</v>
      </c>
      <c r="H24" s="74" t="str">
        <f>IF(E24="","",VLOOKUP(E24,Causas!$A$2:$D$90,4,FALSE()))</f>
        <v>Faenas agrícolas y pecuarias</v>
      </c>
      <c r="I24" s="74" t="str">
        <f>IF(E24="","",VLOOKUP(E24,Causas!$A$2:$E$90,5,FALSE()))</f>
        <v>Negligentes</v>
      </c>
      <c r="J24" s="47">
        <v>302601</v>
      </c>
      <c r="K24" s="46">
        <v>6114913</v>
      </c>
      <c r="L24" s="47">
        <v>1.5</v>
      </c>
      <c r="M24" s="46" t="s">
        <v>306</v>
      </c>
      <c r="N24" s="46" t="s">
        <v>323</v>
      </c>
      <c r="O24" s="31" t="s">
        <v>253</v>
      </c>
      <c r="P24" s="53">
        <v>45966</v>
      </c>
      <c r="Q24" s="40">
        <f t="shared" si="0"/>
        <v>11</v>
      </c>
      <c r="R24" s="40"/>
    </row>
    <row r="25" spans="1:18" s="22" customFormat="1" x14ac:dyDescent="0.2">
      <c r="A25" s="41">
        <v>24</v>
      </c>
      <c r="B25" s="59" t="s">
        <v>242</v>
      </c>
      <c r="C25" s="46">
        <v>47</v>
      </c>
      <c r="D25" s="59" t="s">
        <v>324</v>
      </c>
      <c r="E25" s="48" t="s">
        <v>148</v>
      </c>
      <c r="F25" s="74" t="str">
        <f>IF(E25="","",VLOOKUP(E25,Causas!$A$2:$B$90,2,FALSE))</f>
        <v>Otras causas negligentes no clasificadas en faenas agrícolas y pecuarias</v>
      </c>
      <c r="G25" s="70" t="str">
        <f>IF(E25="","",VLOOKUP(E25,Causas!$A$2:$D$90,3,FALSE()))</f>
        <v>4.2</v>
      </c>
      <c r="H25" s="74" t="str">
        <f>IF(E25="","",VLOOKUP(E25,Causas!$A$2:$D$90,4,FALSE()))</f>
        <v>Faenas agrícolas y pecuarias</v>
      </c>
      <c r="I25" s="74" t="str">
        <f>IF(E25="","",VLOOKUP(E25,Causas!$A$2:$E$90,5,FALSE()))</f>
        <v>Negligentes</v>
      </c>
      <c r="J25" s="47">
        <v>268162</v>
      </c>
      <c r="K25" s="46">
        <v>6080988</v>
      </c>
      <c r="L25" s="47">
        <v>0.3</v>
      </c>
      <c r="M25" s="46" t="s">
        <v>306</v>
      </c>
      <c r="N25" s="46" t="s">
        <v>325</v>
      </c>
      <c r="O25" s="31" t="s">
        <v>242</v>
      </c>
      <c r="P25" s="53">
        <v>45961</v>
      </c>
      <c r="Q25" s="40">
        <f t="shared" si="0"/>
        <v>10</v>
      </c>
      <c r="R25" s="40"/>
    </row>
    <row r="26" spans="1:18" x14ac:dyDescent="0.2">
      <c r="A26" s="41">
        <v>25</v>
      </c>
      <c r="B26" s="59" t="s">
        <v>255</v>
      </c>
      <c r="C26" s="46">
        <v>62</v>
      </c>
      <c r="D26" s="58" t="s">
        <v>326</v>
      </c>
      <c r="E26" s="48" t="s">
        <v>148</v>
      </c>
      <c r="F26" s="74" t="str">
        <f>IF(E26="","",VLOOKUP(E26,Causas!$A$2:$B$90,2,FALSE))</f>
        <v>Otras causas negligentes no clasificadas en faenas agrícolas y pecuarias</v>
      </c>
      <c r="G26" s="70" t="str">
        <f>IF(E26="","",VLOOKUP(E26,Causas!$A$2:$D$90,3,FALSE()))</f>
        <v>4.2</v>
      </c>
      <c r="H26" s="74" t="str">
        <f>IF(E26="","",VLOOKUP(E26,Causas!$A$2:$D$90,4,FALSE()))</f>
        <v>Faenas agrícolas y pecuarias</v>
      </c>
      <c r="I26" s="74" t="str">
        <f>IF(E26="","",VLOOKUP(E26,Causas!$A$2:$E$90,5,FALSE()))</f>
        <v>Negligentes</v>
      </c>
      <c r="J26" s="47">
        <v>289418</v>
      </c>
      <c r="K26" s="46">
        <v>6083948</v>
      </c>
      <c r="L26" s="47">
        <v>0.6</v>
      </c>
      <c r="M26" s="46" t="s">
        <v>306</v>
      </c>
      <c r="N26" s="46" t="s">
        <v>327</v>
      </c>
      <c r="O26" s="31" t="s">
        <v>242</v>
      </c>
      <c r="P26" s="53">
        <v>45966</v>
      </c>
      <c r="Q26" s="40">
        <f t="shared" si="0"/>
        <v>11</v>
      </c>
      <c r="R26" s="40"/>
    </row>
    <row r="27" spans="1:18" x14ac:dyDescent="0.2">
      <c r="A27" s="41">
        <v>26</v>
      </c>
      <c r="B27" s="59" t="s">
        <v>254</v>
      </c>
      <c r="C27" s="46">
        <v>48</v>
      </c>
      <c r="D27" s="58" t="s">
        <v>328</v>
      </c>
      <c r="E27" s="48" t="s">
        <v>25</v>
      </c>
      <c r="F27" s="74" t="str">
        <f>IF(E27="","",VLOOKUP(E27,Causas!$A$2:$B$90,2,FALSE))</f>
        <v>Quema de basura residencial o desechos vegetales</v>
      </c>
      <c r="G27" s="70" t="str">
        <f>IF(E27="","",VLOOKUP(E27,Causas!$A$2:$D$90,3,FALSE()))</f>
        <v>4.8</v>
      </c>
      <c r="H27" s="74" t="str">
        <f>IF(E27="","",VLOOKUP(E27,Causas!$A$2:$D$90,4,FALSE()))</f>
        <v>Otras quemas</v>
      </c>
      <c r="I27" s="74" t="str">
        <f>IF(E27="","",VLOOKUP(E27,Causas!$A$2:$E$90,5,FALSE()))</f>
        <v>Negligentes</v>
      </c>
      <c r="J27" s="47">
        <v>237984</v>
      </c>
      <c r="K27" s="46">
        <v>6060522</v>
      </c>
      <c r="L27" s="47">
        <v>0.6</v>
      </c>
      <c r="M27" s="46" t="s">
        <v>306</v>
      </c>
      <c r="N27" s="46" t="s">
        <v>329</v>
      </c>
      <c r="O27" s="31" t="s">
        <v>248</v>
      </c>
      <c r="P27" s="53">
        <v>45962</v>
      </c>
      <c r="Q27" s="40">
        <f t="shared" si="0"/>
        <v>11</v>
      </c>
      <c r="R27" s="40"/>
    </row>
    <row r="28" spans="1:18" x14ac:dyDescent="0.2">
      <c r="A28" s="41">
        <v>27</v>
      </c>
      <c r="B28" s="59" t="s">
        <v>254</v>
      </c>
      <c r="C28" s="46">
        <v>59</v>
      </c>
      <c r="D28" s="58" t="s">
        <v>330</v>
      </c>
      <c r="E28" s="48" t="s">
        <v>198</v>
      </c>
      <c r="F28" s="74" t="str">
        <f>IF(E28="","",VLOOKUP(E28,Causas!$A$2:$B$90,2,FALSE))</f>
        <v>Otras causas eléctricas negligentes no  clasificadas</v>
      </c>
      <c r="G28" s="70" t="str">
        <f>IF(E28="","",VLOOKUP(E28,Causas!$A$2:$D$90,3,FALSE()))</f>
        <v>4.9</v>
      </c>
      <c r="H28" s="74" t="str">
        <f>IF(E28="","",VLOOKUP(E28,Causas!$A$2:$D$90,4,FALSE()))</f>
        <v>Líneas eléctricas</v>
      </c>
      <c r="I28" s="74" t="str">
        <f>IF(E28="","",VLOOKUP(E28,Causas!$A$2:$E$90,5,FALSE()))</f>
        <v>Negligentes</v>
      </c>
      <c r="J28" s="47">
        <v>242910</v>
      </c>
      <c r="K28" s="46">
        <v>6056575</v>
      </c>
      <c r="L28" s="47">
        <v>0.5</v>
      </c>
      <c r="M28" s="46" t="s">
        <v>306</v>
      </c>
      <c r="N28" s="46" t="s">
        <v>331</v>
      </c>
      <c r="O28" s="31" t="s">
        <v>248</v>
      </c>
      <c r="P28" s="53">
        <v>45966</v>
      </c>
      <c r="Q28" s="40">
        <f t="shared" si="0"/>
        <v>11</v>
      </c>
      <c r="R28" s="40"/>
    </row>
    <row r="29" spans="1:18" x14ac:dyDescent="0.2">
      <c r="A29" s="41">
        <v>28</v>
      </c>
      <c r="B29" s="59" t="s">
        <v>12</v>
      </c>
      <c r="C29" s="46">
        <v>36</v>
      </c>
      <c r="D29" s="58" t="s">
        <v>332</v>
      </c>
      <c r="E29" s="48" t="s">
        <v>148</v>
      </c>
      <c r="F29" s="74" t="str">
        <f>IF(E29="","",VLOOKUP(E29,Causas!$A$2:$B$90,2,FALSE))</f>
        <v>Otras causas negligentes no clasificadas en faenas agrícolas y pecuarias</v>
      </c>
      <c r="G29" s="70" t="str">
        <f>IF(E29="","",VLOOKUP(E29,Causas!$A$2:$D$90,3,FALSE()))</f>
        <v>4.2</v>
      </c>
      <c r="H29" s="74" t="str">
        <f>IF(E29="","",VLOOKUP(E29,Causas!$A$2:$D$90,4,FALSE()))</f>
        <v>Faenas agrícolas y pecuarias</v>
      </c>
      <c r="I29" s="74" t="str">
        <f>IF(E29="","",VLOOKUP(E29,Causas!$A$2:$E$90,5,FALSE()))</f>
        <v>Negligentes</v>
      </c>
      <c r="J29" s="47">
        <v>260507</v>
      </c>
      <c r="K29" s="46">
        <v>6070752</v>
      </c>
      <c r="L29" s="47">
        <v>0.01</v>
      </c>
      <c r="M29" s="46" t="s">
        <v>306</v>
      </c>
      <c r="N29" s="46" t="s">
        <v>333</v>
      </c>
      <c r="O29" s="31" t="s">
        <v>242</v>
      </c>
      <c r="P29" s="53">
        <v>45957</v>
      </c>
      <c r="Q29" s="40">
        <f t="shared" si="0"/>
        <v>10</v>
      </c>
      <c r="R29" s="40"/>
    </row>
    <row r="30" spans="1:18" x14ac:dyDescent="0.2">
      <c r="A30" s="41">
        <v>29</v>
      </c>
      <c r="B30" s="59" t="s">
        <v>12</v>
      </c>
      <c r="C30" s="46">
        <v>68</v>
      </c>
      <c r="D30" s="58" t="s">
        <v>334</v>
      </c>
      <c r="E30" s="48" t="s">
        <v>148</v>
      </c>
      <c r="F30" s="74" t="str">
        <f>IF(E30="","",VLOOKUP(E30,Causas!$A$2:$B$90,2,FALSE))</f>
        <v>Otras causas negligentes no clasificadas en faenas agrícolas y pecuarias</v>
      </c>
      <c r="G30" s="70" t="str">
        <f>IF(E30="","",VLOOKUP(E30,Causas!$A$2:$D$90,3,FALSE()))</f>
        <v>4.2</v>
      </c>
      <c r="H30" s="74" t="str">
        <f>IF(E30="","",VLOOKUP(E30,Causas!$A$2:$D$90,4,FALSE()))</f>
        <v>Faenas agrícolas y pecuarias</v>
      </c>
      <c r="I30" s="74" t="str">
        <f>IF(E30="","",VLOOKUP(E30,Causas!$A$2:$E$90,5,FALSE()))</f>
        <v>Negligentes</v>
      </c>
      <c r="J30" s="47">
        <v>259081</v>
      </c>
      <c r="K30" s="46">
        <v>6069979</v>
      </c>
      <c r="L30" s="47">
        <v>0.18</v>
      </c>
      <c r="M30" s="46" t="s">
        <v>306</v>
      </c>
      <c r="N30" s="46" t="s">
        <v>335</v>
      </c>
      <c r="O30" s="31" t="s">
        <v>242</v>
      </c>
      <c r="P30" s="53">
        <v>45970</v>
      </c>
      <c r="Q30" s="40">
        <f t="shared" si="0"/>
        <v>11</v>
      </c>
      <c r="R30" s="40"/>
    </row>
    <row r="31" spans="1:18" x14ac:dyDescent="0.2">
      <c r="A31" s="41">
        <v>30</v>
      </c>
      <c r="B31" s="59" t="s">
        <v>12</v>
      </c>
      <c r="C31" s="46">
        <v>64</v>
      </c>
      <c r="D31" s="60" t="s">
        <v>336</v>
      </c>
      <c r="E31" s="48" t="s">
        <v>219</v>
      </c>
      <c r="F31" s="74" t="str">
        <f>IF(E31="","",VLOOKUP(E31,Causas!$A$2:$B$90,2,FALSE))</f>
        <v>Empleo de fuentes de calor para eliminar recubrimiento de  conductores eléctricos</v>
      </c>
      <c r="G31" s="70" t="str">
        <f>IF(E31="","",VLOOKUP(E31,Causas!$A$2:$D$90,3,FALSE()))</f>
        <v>4.10</v>
      </c>
      <c r="H31" s="74" t="str">
        <f>IF(E31="","",VLOOKUP(E31,Causas!$A$2:$D$90,4,FALSE()))</f>
        <v>Otras causas</v>
      </c>
      <c r="I31" s="74" t="str">
        <f>IF(E31="","",VLOOKUP(E31,Causas!$A$2:$E$90,5,FALSE()))</f>
        <v>Negligentes</v>
      </c>
      <c r="J31" s="47">
        <v>255464</v>
      </c>
      <c r="K31" s="46">
        <v>6062545</v>
      </c>
      <c r="L31" s="47">
        <v>0.5</v>
      </c>
      <c r="M31" s="46" t="s">
        <v>306</v>
      </c>
      <c r="N31" s="46" t="s">
        <v>337</v>
      </c>
      <c r="O31" s="31" t="s">
        <v>242</v>
      </c>
      <c r="P31" s="53">
        <v>45966</v>
      </c>
      <c r="Q31" s="40">
        <f t="shared" si="0"/>
        <v>11</v>
      </c>
      <c r="R31" s="40"/>
    </row>
    <row r="32" spans="1:18" x14ac:dyDescent="0.2">
      <c r="A32" s="41">
        <v>31</v>
      </c>
      <c r="B32" s="59" t="s">
        <v>247</v>
      </c>
      <c r="C32" s="46">
        <v>74</v>
      </c>
      <c r="D32" s="58" t="s">
        <v>338</v>
      </c>
      <c r="E32" s="48" t="s">
        <v>21</v>
      </c>
      <c r="F32" s="74" t="str">
        <f>IF(E32="","",VLOOKUP(E32,Causas!$A$2:$B$90,2,FALSE))</f>
        <v>Empleo de fuentes de calor en actividades relacionadas a parcelaciones (asados, tijerales, fogatas, otros)</v>
      </c>
      <c r="G32" s="70" t="str">
        <f>IF(E32="","",VLOOKUP(E32,Causas!$A$2:$D$90,3,FALSE()))</f>
        <v>4.6</v>
      </c>
      <c r="H32" s="74" t="str">
        <f>IF(E32="","",VLOOKUP(E32,Causas!$A$2:$D$90,4,FALSE()))</f>
        <v>Parcelaciones, edificaciones residenciales, industriales u otras en zonas rurales o de interfaz</v>
      </c>
      <c r="I32" s="74" t="str">
        <f>IF(E32="","",VLOOKUP(E32,Causas!$A$2:$E$90,5,FALSE()))</f>
        <v>Negligentes</v>
      </c>
      <c r="J32" s="47">
        <v>264223</v>
      </c>
      <c r="K32" s="46">
        <v>6010205</v>
      </c>
      <c r="L32" s="47">
        <v>0.1</v>
      </c>
      <c r="M32" s="46" t="s">
        <v>306</v>
      </c>
      <c r="N32" s="46" t="s">
        <v>339</v>
      </c>
      <c r="O32" s="31" t="s">
        <v>248</v>
      </c>
      <c r="P32" s="53">
        <v>45973</v>
      </c>
      <c r="Q32" s="40">
        <f t="shared" si="0"/>
        <v>11</v>
      </c>
      <c r="R32" s="40"/>
    </row>
    <row r="33" spans="1:18" x14ac:dyDescent="0.2">
      <c r="A33" s="41">
        <v>32</v>
      </c>
      <c r="B33" s="59" t="s">
        <v>248</v>
      </c>
      <c r="C33" s="46">
        <v>41</v>
      </c>
      <c r="D33" s="58" t="s">
        <v>340</v>
      </c>
      <c r="E33" s="48" t="s">
        <v>148</v>
      </c>
      <c r="F33" s="74" t="str">
        <f>IF(E33="","",VLOOKUP(E33,Causas!$A$2:$B$90,2,FALSE))</f>
        <v>Otras causas negligentes no clasificadas en faenas agrícolas y pecuarias</v>
      </c>
      <c r="G33" s="70" t="str">
        <f>IF(E33="","",VLOOKUP(E33,Causas!$A$2:$D$90,3,FALSE()))</f>
        <v>4.2</v>
      </c>
      <c r="H33" s="74" t="str">
        <f>IF(E33="","",VLOOKUP(E33,Causas!$A$2:$D$90,4,FALSE()))</f>
        <v>Faenas agrícolas y pecuarias</v>
      </c>
      <c r="I33" s="74" t="str">
        <f>IF(E33="","",VLOOKUP(E33,Causas!$A$2:$E$90,5,FALSE()))</f>
        <v>Negligentes</v>
      </c>
      <c r="J33" s="47">
        <v>256511</v>
      </c>
      <c r="K33" s="46">
        <v>6033894</v>
      </c>
      <c r="L33" s="47">
        <v>1.3</v>
      </c>
      <c r="M33" s="46" t="s">
        <v>306</v>
      </c>
      <c r="N33" s="46" t="s">
        <v>341</v>
      </c>
      <c r="O33" s="31" t="s">
        <v>248</v>
      </c>
      <c r="P33" s="53">
        <v>45959</v>
      </c>
      <c r="Q33" s="40">
        <f t="shared" si="0"/>
        <v>10</v>
      </c>
      <c r="R33" s="40"/>
    </row>
    <row r="34" spans="1:18" x14ac:dyDescent="0.2">
      <c r="A34" s="41">
        <v>33</v>
      </c>
      <c r="B34" s="59" t="s">
        <v>245</v>
      </c>
      <c r="C34" s="46">
        <v>60</v>
      </c>
      <c r="D34" s="58" t="s">
        <v>342</v>
      </c>
      <c r="E34" s="48" t="s">
        <v>39</v>
      </c>
      <c r="F34" s="74" t="str">
        <f>IF(E34="","",VLOOKUP(E34,Causas!$A$2:$B$90,2,FALSE))</f>
        <v>Partículas incandescentes generadas por roce de maquinaria o herramienta forestal con rocas, cercos o material metálico</v>
      </c>
      <c r="G34" s="70" t="str">
        <f>IF(E34="","",VLOOKUP(E34,Causas!$A$2:$D$90,3,FALSE()))</f>
        <v>1.1</v>
      </c>
      <c r="H34" s="74" t="str">
        <f>IF(E34="","",VLOOKUP(E34,Causas!$A$2:$D$90,4,FALSE()))</f>
        <v>Faenas forestales</v>
      </c>
      <c r="I34" s="74" t="str">
        <f>IF(E34="","",VLOOKUP(E34,Causas!$A$2:$E$90,5,FALSE()))</f>
        <v>Accidentales</v>
      </c>
      <c r="J34" s="47">
        <v>254198</v>
      </c>
      <c r="K34" s="46">
        <v>6086425</v>
      </c>
      <c r="L34" s="47">
        <v>0.05</v>
      </c>
      <c r="M34" s="46" t="s">
        <v>306</v>
      </c>
      <c r="N34" s="46" t="s">
        <v>343</v>
      </c>
      <c r="O34" s="31" t="s">
        <v>242</v>
      </c>
      <c r="P34" s="53">
        <v>45973</v>
      </c>
      <c r="Q34" s="40">
        <f t="shared" si="0"/>
        <v>11</v>
      </c>
      <c r="R34" s="40"/>
    </row>
    <row r="35" spans="1:18" x14ac:dyDescent="0.2">
      <c r="A35" s="41">
        <v>34</v>
      </c>
      <c r="B35" s="59" t="s">
        <v>242</v>
      </c>
      <c r="C35" s="46">
        <v>76</v>
      </c>
      <c r="D35" s="58" t="s">
        <v>344</v>
      </c>
      <c r="E35" s="48" t="s">
        <v>221</v>
      </c>
      <c r="F35" s="74" t="str">
        <f>IF(E35="","",VLOOKUP(E35,Causas!$A$2:$B$90,2,FALSE))</f>
        <v>Empleo de fuentes de calor por personas en situación de calle</v>
      </c>
      <c r="G35" s="70" t="str">
        <f>IF(E35="","",VLOOKUP(E35,Causas!$A$2:$D$90,3,FALSE()))</f>
        <v>4.10</v>
      </c>
      <c r="H35" s="74" t="str">
        <f>IF(E35="","",VLOOKUP(E35,Causas!$A$2:$D$90,4,FALSE()))</f>
        <v>Otras causas</v>
      </c>
      <c r="I35" s="74" t="str">
        <f>IF(E35="","",VLOOKUP(E35,Causas!$A$2:$E$90,5,FALSE()))</f>
        <v>Negligentes</v>
      </c>
      <c r="J35" s="47">
        <v>260194</v>
      </c>
      <c r="K35" s="46">
        <v>6073638</v>
      </c>
      <c r="L35" s="47">
        <v>0.1</v>
      </c>
      <c r="M35" s="46" t="s">
        <v>306</v>
      </c>
      <c r="N35" s="46" t="s">
        <v>345</v>
      </c>
      <c r="O35" s="31" t="s">
        <v>242</v>
      </c>
      <c r="P35" s="53">
        <v>45974</v>
      </c>
      <c r="Q35" s="40">
        <f t="shared" si="0"/>
        <v>11</v>
      </c>
      <c r="R35" s="40"/>
    </row>
    <row r="36" spans="1:18" x14ac:dyDescent="0.2">
      <c r="A36" s="41">
        <v>35</v>
      </c>
      <c r="B36" s="59" t="s">
        <v>27</v>
      </c>
      <c r="C36" s="46">
        <v>52</v>
      </c>
      <c r="D36" s="58" t="s">
        <v>346</v>
      </c>
      <c r="E36" s="48" t="s">
        <v>207</v>
      </c>
      <c r="F36" s="74" t="str">
        <f>IF(E36="","",VLOOKUP(E36,Causas!$A$2:$B$90,2,FALSE))</f>
        <v>Acciones asociadas a fumar</v>
      </c>
      <c r="G36" s="70" t="str">
        <f>IF(E36="","",VLOOKUP(E36,Causas!$A$2:$D$90,3,FALSE()))</f>
        <v>4.10</v>
      </c>
      <c r="H36" s="74" t="str">
        <f>IF(E36="","",VLOOKUP(E36,Causas!$A$2:$D$90,4,FALSE()))</f>
        <v>Otras causas</v>
      </c>
      <c r="I36" s="74" t="str">
        <f>IF(E36="","",VLOOKUP(E36,Causas!$A$2:$E$90,5,FALSE()))</f>
        <v>Negligentes</v>
      </c>
      <c r="J36" s="47">
        <v>750172</v>
      </c>
      <c r="K36" s="46">
        <v>6070867</v>
      </c>
      <c r="L36" s="47">
        <v>0.02</v>
      </c>
      <c r="M36" s="46" t="s">
        <v>306</v>
      </c>
      <c r="N36" s="46" t="s">
        <v>347</v>
      </c>
      <c r="O36" s="31" t="s">
        <v>242</v>
      </c>
      <c r="P36" s="53">
        <v>45963</v>
      </c>
      <c r="Q36" s="40">
        <f t="shared" si="0"/>
        <v>11</v>
      </c>
      <c r="R36" s="40"/>
    </row>
    <row r="37" spans="1:18" x14ac:dyDescent="0.2">
      <c r="A37" s="41">
        <v>36</v>
      </c>
      <c r="B37" s="59" t="s">
        <v>27</v>
      </c>
      <c r="C37" s="46">
        <v>15</v>
      </c>
      <c r="D37" s="58" t="s">
        <v>348</v>
      </c>
      <c r="E37" s="48" t="s">
        <v>189</v>
      </c>
      <c r="F37" s="74" t="str">
        <f>IF(E37="","",VLOOKUP(E37,Causas!$A$2:$B$90,2,FALSE))</f>
        <v>Combustión de la vegetación, producto del contacto o proximidad con el tendido eléctrico</v>
      </c>
      <c r="G37" s="70" t="str">
        <f>IF(E37="","",VLOOKUP(E37,Causas!$A$2:$D$90,3,FALSE()))</f>
        <v>4.9</v>
      </c>
      <c r="H37" s="74" t="str">
        <f>IF(E37="","",VLOOKUP(E37,Causas!$A$2:$D$90,4,FALSE()))</f>
        <v>Líneas eléctricas</v>
      </c>
      <c r="I37" s="74" t="str">
        <f>IF(E37="","",VLOOKUP(E37,Causas!$A$2:$E$90,5,FALSE()))</f>
        <v>Negligentes</v>
      </c>
      <c r="J37" s="47">
        <v>750976</v>
      </c>
      <c r="K37" s="46">
        <v>6074800</v>
      </c>
      <c r="L37" s="47">
        <v>0.4</v>
      </c>
      <c r="M37" s="46" t="s">
        <v>306</v>
      </c>
      <c r="N37" s="46" t="s">
        <v>349</v>
      </c>
      <c r="O37" s="31" t="s">
        <v>242</v>
      </c>
      <c r="P37" s="53">
        <v>45948</v>
      </c>
      <c r="Q37" s="40">
        <f t="shared" si="0"/>
        <v>10</v>
      </c>
      <c r="R37" s="40"/>
    </row>
    <row r="38" spans="1:18" x14ac:dyDescent="0.2">
      <c r="A38" s="41">
        <v>37</v>
      </c>
      <c r="B38" s="59" t="s">
        <v>257</v>
      </c>
      <c r="C38" s="46">
        <v>88</v>
      </c>
      <c r="D38" s="58" t="s">
        <v>350</v>
      </c>
      <c r="E38" s="48" t="s">
        <v>192</v>
      </c>
      <c r="F38" s="74" t="str">
        <f>IF(E38="","",VLOOKUP(E38,Causas!$A$2:$B$90,2,FALSE))</f>
        <v>Corte de conductor eléctrico por caída de rama o árbol (excepto por faena forestal o agrícola)</v>
      </c>
      <c r="G38" s="70" t="str">
        <f>IF(E38="","",VLOOKUP(E38,Causas!$A$2:$D$90,3,FALSE()))</f>
        <v>4.9</v>
      </c>
      <c r="H38" s="74" t="str">
        <f>IF(E38="","",VLOOKUP(E38,Causas!$A$2:$D$90,4,FALSE()))</f>
        <v>Líneas eléctricas</v>
      </c>
      <c r="I38" s="74" t="str">
        <f>IF(E38="","",VLOOKUP(E38,Causas!$A$2:$E$90,5,FALSE()))</f>
        <v>Negligentes</v>
      </c>
      <c r="J38" s="47">
        <v>265993</v>
      </c>
      <c r="K38" s="46">
        <v>6085054</v>
      </c>
      <c r="L38" s="47">
        <v>0.4</v>
      </c>
      <c r="M38" s="46" t="s">
        <v>306</v>
      </c>
      <c r="N38" s="46" t="s">
        <v>351</v>
      </c>
      <c r="O38" s="31" t="s">
        <v>242</v>
      </c>
      <c r="P38" s="53">
        <v>45978</v>
      </c>
      <c r="Q38" s="40">
        <f t="shared" si="0"/>
        <v>11</v>
      </c>
      <c r="R38" s="40"/>
    </row>
    <row r="39" spans="1:18" x14ac:dyDescent="0.2">
      <c r="A39" s="41">
        <v>38</v>
      </c>
      <c r="B39" s="59" t="s">
        <v>249</v>
      </c>
      <c r="C39" s="46">
        <v>89</v>
      </c>
      <c r="D39" s="58" t="s">
        <v>352</v>
      </c>
      <c r="E39" s="48" t="s">
        <v>192</v>
      </c>
      <c r="F39" s="74" t="str">
        <f>IF(E39="","",VLOOKUP(E39,Causas!$A$2:$B$90,2,FALSE))</f>
        <v>Corte de conductor eléctrico por caída de rama o árbol (excepto por faena forestal o agrícola)</v>
      </c>
      <c r="G39" s="70" t="str">
        <f>IF(E39="","",VLOOKUP(E39,Causas!$A$2:$D$90,3,FALSE()))</f>
        <v>4.9</v>
      </c>
      <c r="H39" s="74" t="str">
        <f>IF(E39="","",VLOOKUP(E39,Causas!$A$2:$D$90,4,FALSE()))</f>
        <v>Líneas eléctricas</v>
      </c>
      <c r="I39" s="74" t="str">
        <f>IF(E39="","",VLOOKUP(E39,Causas!$A$2:$E$90,5,FALSE()))</f>
        <v>Negligentes</v>
      </c>
      <c r="J39" s="47">
        <v>276660</v>
      </c>
      <c r="K39" s="46">
        <v>6071376</v>
      </c>
      <c r="L39" s="47">
        <v>1</v>
      </c>
      <c r="M39" s="46" t="s">
        <v>306</v>
      </c>
      <c r="N39" s="46" t="s">
        <v>353</v>
      </c>
      <c r="O39" s="31" t="s">
        <v>242</v>
      </c>
      <c r="P39" s="53">
        <v>45978</v>
      </c>
      <c r="Q39" s="40">
        <f t="shared" si="0"/>
        <v>11</v>
      </c>
      <c r="R39" s="40"/>
    </row>
    <row r="40" spans="1:18" x14ac:dyDescent="0.2">
      <c r="A40" s="41">
        <v>39</v>
      </c>
      <c r="B40" s="59" t="s">
        <v>266</v>
      </c>
      <c r="C40" s="46">
        <v>97</v>
      </c>
      <c r="D40" s="58" t="s">
        <v>354</v>
      </c>
      <c r="E40" s="48" t="s">
        <v>87</v>
      </c>
      <c r="F40" s="74" t="str">
        <f>IF(E40="","",VLOOKUP(E40,Causas!$A$2:$B$90,2,FALSE))</f>
        <v>Otro accidente eléctrico no clasificado</v>
      </c>
      <c r="G40" s="70" t="str">
        <f>IF(E40="","",VLOOKUP(E40,Causas!$A$2:$D$90,3,FALSE()))</f>
        <v>1.9</v>
      </c>
      <c r="H40" s="74" t="str">
        <f>IF(E40="","",VLOOKUP(E40,Causas!$A$2:$D$90,4,FALSE()))</f>
        <v>Líneas eléctricas</v>
      </c>
      <c r="I40" s="74" t="str">
        <f>IF(E40="","",VLOOKUP(E40,Causas!$A$2:$E$90,5,FALSE()))</f>
        <v>Accidentales</v>
      </c>
      <c r="J40" s="47">
        <v>229014</v>
      </c>
      <c r="K40" s="46">
        <v>6092149</v>
      </c>
      <c r="L40" s="47">
        <v>8.15</v>
      </c>
      <c r="M40" s="46" t="s">
        <v>306</v>
      </c>
      <c r="N40" s="46" t="s">
        <v>355</v>
      </c>
      <c r="O40" s="31" t="s">
        <v>242</v>
      </c>
      <c r="P40" s="53">
        <v>45979</v>
      </c>
      <c r="Q40" s="40">
        <f t="shared" si="0"/>
        <v>11</v>
      </c>
      <c r="R40" s="40"/>
    </row>
    <row r="41" spans="1:18" x14ac:dyDescent="0.2">
      <c r="A41" s="41">
        <v>40</v>
      </c>
      <c r="B41" s="59" t="s">
        <v>246</v>
      </c>
      <c r="C41" s="46">
        <v>93</v>
      </c>
      <c r="D41" s="58" t="s">
        <v>356</v>
      </c>
      <c r="E41" s="48" t="s">
        <v>134</v>
      </c>
      <c r="F41" s="74" t="str">
        <f>IF(E41="","",VLOOKUP(E41,Causas!$A$2:$B$90,2,FALSE))</f>
        <v>Quema no avisada de desechos agrícolas que se propaga libre y sin control</v>
      </c>
      <c r="G41" s="70" t="str">
        <f>IF(E41="","",VLOOKUP(E41,Causas!$A$2:$D$90,3,FALSE()))</f>
        <v>4.2</v>
      </c>
      <c r="H41" s="74" t="str">
        <f>IF(E41="","",VLOOKUP(E41,Causas!$A$2:$D$90,4,FALSE()))</f>
        <v>Faenas agrícolas y pecuarias</v>
      </c>
      <c r="I41" s="74" t="str">
        <f>IF(E41="","",VLOOKUP(E41,Causas!$A$2:$E$90,5,FALSE()))</f>
        <v>Negligentes</v>
      </c>
      <c r="J41" s="47">
        <v>297511</v>
      </c>
      <c r="K41" s="46">
        <v>6114816</v>
      </c>
      <c r="L41" s="47">
        <v>13</v>
      </c>
      <c r="M41" s="46" t="s">
        <v>306</v>
      </c>
      <c r="N41" s="46" t="s">
        <v>357</v>
      </c>
      <c r="O41" s="31" t="s">
        <v>253</v>
      </c>
      <c r="P41" s="53">
        <v>45978</v>
      </c>
      <c r="Q41" s="40">
        <f t="shared" si="0"/>
        <v>11</v>
      </c>
      <c r="R41" s="40"/>
    </row>
    <row r="42" spans="1:18" x14ac:dyDescent="0.2">
      <c r="A42" s="41">
        <v>41</v>
      </c>
      <c r="B42" s="59" t="s">
        <v>241</v>
      </c>
      <c r="C42" s="46">
        <v>152</v>
      </c>
      <c r="D42" s="58" t="s">
        <v>374</v>
      </c>
      <c r="E42" s="48" t="s">
        <v>198</v>
      </c>
      <c r="F42" s="74" t="str">
        <f>IF(E42="","",VLOOKUP(E42,Causas!$A$2:$B$90,2,FALSE))</f>
        <v>Otras causas eléctricas negligentes no  clasificadas</v>
      </c>
      <c r="G42" s="70" t="str">
        <f>IF(E42="","",VLOOKUP(E42,Causas!$A$2:$D$90,3,FALSE()))</f>
        <v>4.9</v>
      </c>
      <c r="H42" s="74" t="str">
        <f>IF(E42="","",VLOOKUP(E42,Causas!$A$2:$D$90,4,FALSE()))</f>
        <v>Líneas eléctricas</v>
      </c>
      <c r="I42" s="74" t="str">
        <f>IF(E42="","",VLOOKUP(E42,Causas!$A$2:$E$90,5,FALSE()))</f>
        <v>Negligentes</v>
      </c>
      <c r="J42" s="47">
        <v>758189</v>
      </c>
      <c r="K42" s="46">
        <v>6026494</v>
      </c>
      <c r="L42" s="47">
        <v>13.8</v>
      </c>
      <c r="M42" s="46" t="s">
        <v>306</v>
      </c>
      <c r="N42" s="46" t="s">
        <v>358</v>
      </c>
      <c r="O42" s="31" t="s">
        <v>241</v>
      </c>
      <c r="P42" s="53">
        <v>45979</v>
      </c>
      <c r="Q42" s="40">
        <f t="shared" si="0"/>
        <v>11</v>
      </c>
      <c r="R42" s="40"/>
    </row>
    <row r="43" spans="1:18" x14ac:dyDescent="0.2">
      <c r="A43" s="41">
        <v>42</v>
      </c>
      <c r="B43" s="59" t="s">
        <v>266</v>
      </c>
      <c r="C43" s="46">
        <v>166</v>
      </c>
      <c r="D43" s="58" t="s">
        <v>375</v>
      </c>
      <c r="E43" s="48" t="s">
        <v>124</v>
      </c>
      <c r="F43" s="74" t="str">
        <f>IF(E43="","",VLOOKUP(E43,Causas!$A$2:$B$90,2,FALSE))</f>
        <v>Contacto o corte de conductor eléctrico producto de faena forestal</v>
      </c>
      <c r="G43" s="70" t="str">
        <f>IF(E43="","",VLOOKUP(E43,Causas!$A$2:$D$90,3,FALSE()))</f>
        <v>4.1</v>
      </c>
      <c r="H43" s="74" t="str">
        <f>IF(E43="","",VLOOKUP(E43,Causas!$A$2:$D$90,4,FALSE()))</f>
        <v>Faenas forestales</v>
      </c>
      <c r="I43" s="74" t="str">
        <f>IF(E43="","",VLOOKUP(E43,Causas!$A$2:$E$90,5,FALSE()))</f>
        <v>Negligentes</v>
      </c>
      <c r="J43" s="47">
        <v>254562</v>
      </c>
      <c r="K43" s="46">
        <v>6108623</v>
      </c>
      <c r="L43" s="47">
        <v>45.5</v>
      </c>
      <c r="M43" s="46" t="s">
        <v>306</v>
      </c>
      <c r="N43" s="46" t="s">
        <v>359</v>
      </c>
      <c r="O43" s="31" t="s">
        <v>242</v>
      </c>
      <c r="P43" s="53">
        <v>45979</v>
      </c>
      <c r="Q43" s="40">
        <f t="shared" si="0"/>
        <v>11</v>
      </c>
      <c r="R43" s="40"/>
    </row>
    <row r="44" spans="1:18" x14ac:dyDescent="0.2">
      <c r="A44" s="41">
        <v>43</v>
      </c>
      <c r="B44" s="59" t="s">
        <v>255</v>
      </c>
      <c r="C44" s="46">
        <v>92</v>
      </c>
      <c r="D44" s="58" t="s">
        <v>360</v>
      </c>
      <c r="E44" s="48" t="s">
        <v>189</v>
      </c>
      <c r="F44" s="74" t="str">
        <f>IF(E44="","",VLOOKUP(E44,Causas!$A$2:$B$90,2,FALSE))</f>
        <v>Combustión de la vegetación, producto del contacto o proximidad con el tendido eléctrico</v>
      </c>
      <c r="G44" s="70" t="str">
        <f>IF(E44="","",VLOOKUP(E44,Causas!$A$2:$D$90,3,FALSE()))</f>
        <v>4.9</v>
      </c>
      <c r="H44" s="74" t="str">
        <f>IF(E44="","",VLOOKUP(E44,Causas!$A$2:$D$90,4,FALSE()))</f>
        <v>Líneas eléctricas</v>
      </c>
      <c r="I44" s="74" t="str">
        <f>IF(E44="","",VLOOKUP(E44,Causas!$A$2:$E$90,5,FALSE()))</f>
        <v>Negligentes</v>
      </c>
      <c r="J44" s="47">
        <v>285828</v>
      </c>
      <c r="K44" s="46">
        <v>6076108</v>
      </c>
      <c r="L44" s="47">
        <v>3.8</v>
      </c>
      <c r="M44" s="46" t="s">
        <v>306</v>
      </c>
      <c r="N44" s="46" t="s">
        <v>361</v>
      </c>
      <c r="O44" s="31" t="s">
        <v>242</v>
      </c>
      <c r="P44" s="53">
        <v>45978</v>
      </c>
      <c r="Q44" s="40">
        <f t="shared" si="0"/>
        <v>11</v>
      </c>
      <c r="R44" s="40"/>
    </row>
    <row r="45" spans="1:18" x14ac:dyDescent="0.2">
      <c r="A45" s="41">
        <v>44</v>
      </c>
      <c r="B45" s="59" t="s">
        <v>242</v>
      </c>
      <c r="C45" s="46">
        <v>110</v>
      </c>
      <c r="D45" s="58" t="s">
        <v>376</v>
      </c>
      <c r="E45" s="48" t="s">
        <v>198</v>
      </c>
      <c r="F45" s="74" t="str">
        <f>IF(E45="","",VLOOKUP(E45,Causas!$A$2:$B$90,2,FALSE))</f>
        <v>Otras causas eléctricas negligentes no  clasificadas</v>
      </c>
      <c r="G45" s="70" t="str">
        <f>IF(E45="","",VLOOKUP(E45,Causas!$A$2:$D$90,3,FALSE()))</f>
        <v>4.9</v>
      </c>
      <c r="H45" s="74" t="str">
        <f>IF(E45="","",VLOOKUP(E45,Causas!$A$2:$D$90,4,FALSE()))</f>
        <v>Líneas eléctricas</v>
      </c>
      <c r="I45" s="74" t="str">
        <f>IF(E45="","",VLOOKUP(E45,Causas!$A$2:$E$90,5,FALSE()))</f>
        <v>Negligentes</v>
      </c>
      <c r="J45" s="47">
        <v>255287</v>
      </c>
      <c r="K45" s="46">
        <v>6077138</v>
      </c>
      <c r="L45" s="47">
        <v>0.3</v>
      </c>
      <c r="M45" s="46" t="s">
        <v>306</v>
      </c>
      <c r="N45" s="46" t="s">
        <v>362</v>
      </c>
      <c r="O45" s="31" t="s">
        <v>242</v>
      </c>
      <c r="P45" s="53">
        <v>45982</v>
      </c>
      <c r="Q45" s="40">
        <f t="shared" si="0"/>
        <v>11</v>
      </c>
      <c r="R45" s="40"/>
    </row>
    <row r="46" spans="1:18" x14ac:dyDescent="0.2">
      <c r="A46" s="41">
        <v>45</v>
      </c>
      <c r="B46" s="59" t="s">
        <v>256</v>
      </c>
      <c r="C46" s="46">
        <v>112</v>
      </c>
      <c r="D46" s="58" t="s">
        <v>363</v>
      </c>
      <c r="E46" s="48" t="s">
        <v>189</v>
      </c>
      <c r="F46" s="74" t="str">
        <f>IF(E46="","",VLOOKUP(E46,Causas!$A$2:$B$90,2,FALSE))</f>
        <v>Combustión de la vegetación, producto del contacto o proximidad con el tendido eléctrico</v>
      </c>
      <c r="G46" s="70" t="str">
        <f>IF(E46="","",VLOOKUP(E46,Causas!$A$2:$D$90,3,FALSE()))</f>
        <v>4.9</v>
      </c>
      <c r="H46" s="74" t="str">
        <f>IF(E46="","",VLOOKUP(E46,Causas!$A$2:$D$90,4,FALSE()))</f>
        <v>Líneas eléctricas</v>
      </c>
      <c r="I46" s="74" t="str">
        <f>IF(E46="","",VLOOKUP(E46,Causas!$A$2:$E$90,5,FALSE()))</f>
        <v>Negligentes</v>
      </c>
      <c r="J46" s="47">
        <v>282870</v>
      </c>
      <c r="K46" s="46">
        <v>6103191</v>
      </c>
      <c r="L46" s="47">
        <v>6.2</v>
      </c>
      <c r="M46" s="46" t="s">
        <v>306</v>
      </c>
      <c r="N46" s="46" t="s">
        <v>364</v>
      </c>
      <c r="O46" s="31" t="s">
        <v>242</v>
      </c>
      <c r="P46" s="53">
        <v>45982</v>
      </c>
      <c r="Q46" s="40">
        <f t="shared" si="0"/>
        <v>11</v>
      </c>
      <c r="R46" s="40"/>
    </row>
    <row r="47" spans="1:18" x14ac:dyDescent="0.2">
      <c r="A47" s="41">
        <v>46</v>
      </c>
      <c r="B47" s="59" t="s">
        <v>241</v>
      </c>
      <c r="C47" s="46">
        <v>90</v>
      </c>
      <c r="D47" s="58" t="s">
        <v>365</v>
      </c>
      <c r="E47" s="48" t="s">
        <v>25</v>
      </c>
      <c r="F47" s="74" t="str">
        <f>IF(E47="","",VLOOKUP(E47,Causas!$A$2:$B$90,2,FALSE))</f>
        <v>Quema de basura residencial o desechos vegetales</v>
      </c>
      <c r="G47" s="70" t="str">
        <f>IF(E47="","",VLOOKUP(E47,Causas!$A$2:$D$90,3,FALSE()))</f>
        <v>4.8</v>
      </c>
      <c r="H47" s="74" t="str">
        <f>IF(E47="","",VLOOKUP(E47,Causas!$A$2:$D$90,4,FALSE()))</f>
        <v>Otras quemas</v>
      </c>
      <c r="I47" s="74" t="str">
        <f>IF(E47="","",VLOOKUP(E47,Causas!$A$2:$E$90,5,FALSE()))</f>
        <v>Negligentes</v>
      </c>
      <c r="J47" s="47">
        <v>735703</v>
      </c>
      <c r="K47" s="46">
        <v>6021267</v>
      </c>
      <c r="L47" s="47">
        <v>4.5</v>
      </c>
      <c r="M47" s="46" t="s">
        <v>306</v>
      </c>
      <c r="N47" s="46" t="s">
        <v>366</v>
      </c>
      <c r="O47" s="31" t="s">
        <v>241</v>
      </c>
      <c r="P47" s="53">
        <v>45978</v>
      </c>
      <c r="Q47" s="40">
        <f t="shared" si="0"/>
        <v>11</v>
      </c>
      <c r="R47" s="40"/>
    </row>
    <row r="48" spans="1:18" x14ac:dyDescent="0.2">
      <c r="A48" s="41">
        <v>47</v>
      </c>
      <c r="B48" s="71" t="s">
        <v>246</v>
      </c>
      <c r="C48" s="49">
        <v>104</v>
      </c>
      <c r="D48" s="61" t="s">
        <v>367</v>
      </c>
      <c r="E48" s="50" t="s">
        <v>21</v>
      </c>
      <c r="F48" s="74" t="str">
        <f>IF(E48="","",VLOOKUP(E48,Causas!$A$2:$B$90,2,FALSE))</f>
        <v>Empleo de fuentes de calor en actividades relacionadas a parcelaciones (asados, tijerales, fogatas, otros)</v>
      </c>
      <c r="G48" s="70" t="str">
        <f>IF(E48="","",VLOOKUP(E48,Causas!$A$2:$D$90,3,FALSE()))</f>
        <v>4.6</v>
      </c>
      <c r="H48" s="74" t="str">
        <f>IF(E48="","",VLOOKUP(E48,Causas!$A$2:$D$90,4,FALSE()))</f>
        <v>Parcelaciones, edificaciones residenciales, industriales u otras en zonas rurales o de interfaz</v>
      </c>
      <c r="I48" s="74" t="str">
        <f>IF(E48="","",VLOOKUP(E48,Causas!$A$2:$E$90,5,FALSE()))</f>
        <v>Negligentes</v>
      </c>
      <c r="J48" s="51">
        <v>294127</v>
      </c>
      <c r="K48" s="49">
        <v>6108002</v>
      </c>
      <c r="L48" s="51">
        <v>0.3</v>
      </c>
      <c r="M48" s="46" t="s">
        <v>306</v>
      </c>
      <c r="N48" s="49" t="s">
        <v>368</v>
      </c>
      <c r="O48" s="31" t="s">
        <v>253</v>
      </c>
      <c r="P48" s="53">
        <v>45981</v>
      </c>
      <c r="Q48" s="40">
        <f t="shared" si="0"/>
        <v>11</v>
      </c>
      <c r="R48" s="40"/>
    </row>
    <row r="49" spans="1:18" x14ac:dyDescent="0.2">
      <c r="A49" s="41">
        <v>48</v>
      </c>
      <c r="B49" s="59" t="s">
        <v>241</v>
      </c>
      <c r="C49" s="46">
        <v>108</v>
      </c>
      <c r="D49" s="58" t="s">
        <v>369</v>
      </c>
      <c r="E49" s="48" t="s">
        <v>28</v>
      </c>
      <c r="F49" s="74" t="str">
        <f>IF(E49="","",VLOOKUP(E49,Causas!$A$2:$B$90,2,FALSE))</f>
        <v>Otras causas negligentes no clasificadas en faenas forestales</v>
      </c>
      <c r="G49" s="70" t="str">
        <f>IF(E49="","",VLOOKUP(E49,Causas!$A$2:$D$90,3,FALSE()))</f>
        <v>4.1</v>
      </c>
      <c r="H49" s="74" t="str">
        <f>IF(E49="","",VLOOKUP(E49,Causas!$A$2:$D$90,4,FALSE()))</f>
        <v>Faenas forestales</v>
      </c>
      <c r="I49" s="74" t="str">
        <f>IF(E49="","",VLOOKUP(E49,Causas!$A$2:$E$90,5,FALSE()))</f>
        <v>Negligentes</v>
      </c>
      <c r="J49" s="47">
        <v>738985</v>
      </c>
      <c r="K49" s="46">
        <v>6023696</v>
      </c>
      <c r="L49" s="47">
        <v>47</v>
      </c>
      <c r="M49" s="46" t="s">
        <v>306</v>
      </c>
      <c r="N49" s="46" t="s">
        <v>370</v>
      </c>
      <c r="O49" s="31" t="s">
        <v>241</v>
      </c>
      <c r="P49" s="53">
        <v>45982</v>
      </c>
      <c r="Q49" s="40">
        <f t="shared" si="0"/>
        <v>11</v>
      </c>
      <c r="R49" s="40"/>
    </row>
    <row r="50" spans="1:18" x14ac:dyDescent="0.2">
      <c r="A50" s="41">
        <v>49</v>
      </c>
      <c r="B50" s="59" t="s">
        <v>241</v>
      </c>
      <c r="C50" s="46">
        <v>105</v>
      </c>
      <c r="D50" s="58" t="s">
        <v>342</v>
      </c>
      <c r="E50" s="48" t="s">
        <v>165</v>
      </c>
      <c r="F50" s="74" t="str">
        <f>IF(E50="","",VLOOKUP(E50,Causas!$A$2:$B$90,2,FALSE))</f>
        <v>Generado por el uso de equipos o herramientas con fines de construcción, limpieza o montaje de estructuras</v>
      </c>
      <c r="G50" s="70" t="str">
        <f>IF(E50="","",VLOOKUP(E50,Causas!$A$2:$D$90,3,FALSE()))</f>
        <v>4.6</v>
      </c>
      <c r="H50" s="74" t="str">
        <f>IF(E50="","",VLOOKUP(E50,Causas!$A$2:$D$90,4,FALSE()))</f>
        <v>Parcelaciones, edificaciones residenciales, industriales u otras en zonas rurales o de interfaz</v>
      </c>
      <c r="I50" s="74" t="str">
        <f>IF(E50="","",VLOOKUP(E50,Causas!$A$2:$E$90,5,FALSE()))</f>
        <v>Negligentes</v>
      </c>
      <c r="J50" s="47">
        <v>761851</v>
      </c>
      <c r="K50" s="46">
        <v>6018555</v>
      </c>
      <c r="L50" s="47">
        <v>0.5</v>
      </c>
      <c r="M50" s="46" t="s">
        <v>306</v>
      </c>
      <c r="N50" s="46" t="s">
        <v>371</v>
      </c>
      <c r="O50" s="31" t="s">
        <v>241</v>
      </c>
      <c r="P50" s="53">
        <v>45982</v>
      </c>
      <c r="Q50" s="40">
        <f t="shared" si="0"/>
        <v>11</v>
      </c>
      <c r="R50" s="40"/>
    </row>
    <row r="51" spans="1:18" x14ac:dyDescent="0.2">
      <c r="A51" s="41">
        <v>50</v>
      </c>
      <c r="B51" s="59" t="s">
        <v>15</v>
      </c>
      <c r="C51" s="46">
        <v>127</v>
      </c>
      <c r="D51" s="58" t="s">
        <v>372</v>
      </c>
      <c r="E51" s="48" t="s">
        <v>28</v>
      </c>
      <c r="F51" s="74" t="str">
        <f>IF(E51="","",VLOOKUP(E51,Causas!$A$2:$B$90,2,FALSE))</f>
        <v>Otras causas negligentes no clasificadas en faenas forestales</v>
      </c>
      <c r="G51" s="70" t="str">
        <f>IF(E51="","",VLOOKUP(E51,Causas!$A$2:$D$90,3,FALSE()))</f>
        <v>4.1</v>
      </c>
      <c r="H51" s="74" t="str">
        <f>IF(E51="","",VLOOKUP(E51,Causas!$A$2:$D$90,4,FALSE()))</f>
        <v>Faenas forestales</v>
      </c>
      <c r="I51" s="74" t="str">
        <f>IF(E51="","",VLOOKUP(E51,Causas!$A$2:$E$90,5,FALSE()))</f>
        <v>Negligentes</v>
      </c>
      <c r="J51" s="47">
        <v>732577</v>
      </c>
      <c r="K51" s="46">
        <v>6042824</v>
      </c>
      <c r="L51" s="47">
        <v>10</v>
      </c>
      <c r="M51" s="46" t="s">
        <v>306</v>
      </c>
      <c r="N51" s="46" t="s">
        <v>373</v>
      </c>
      <c r="O51" s="31" t="s">
        <v>241</v>
      </c>
      <c r="P51" s="53">
        <v>45986</v>
      </c>
      <c r="Q51" s="40">
        <f t="shared" si="0"/>
        <v>11</v>
      </c>
      <c r="R51" s="40"/>
    </row>
    <row r="52" spans="1:18" s="22" customFormat="1" x14ac:dyDescent="0.2">
      <c r="A52" s="17">
        <v>51</v>
      </c>
      <c r="B52" s="62" t="s">
        <v>248</v>
      </c>
      <c r="C52" s="18">
        <v>113</v>
      </c>
      <c r="D52" s="62" t="s">
        <v>377</v>
      </c>
      <c r="E52" s="18" t="s">
        <v>148</v>
      </c>
      <c r="F52" s="74" t="str">
        <f>IF(E52="","",VLOOKUP(E52,Causas!$A$2:$B$90,2,FALSE))</f>
        <v>Otras causas negligentes no clasificadas en faenas agrícolas y pecuarias</v>
      </c>
      <c r="G52" s="70" t="str">
        <f>IF(E52="","",VLOOKUP(E52,Causas!$A$2:$D$90,3,FALSE()))</f>
        <v>4.2</v>
      </c>
      <c r="H52" s="74" t="str">
        <f>IF(E52="","",VLOOKUP(E52,Causas!$A$2:$D$90,4,FALSE()))</f>
        <v>Faenas agrícolas y pecuarias</v>
      </c>
      <c r="I52" s="74" t="str">
        <f>IF(E52="","",VLOOKUP(E52,Causas!$A$2:$E$90,5,FALSE()))</f>
        <v>Negligentes</v>
      </c>
      <c r="J52" s="18">
        <v>273143</v>
      </c>
      <c r="K52" s="18">
        <v>6029832</v>
      </c>
      <c r="L52" s="18">
        <v>0.7</v>
      </c>
      <c r="M52" s="18" t="s">
        <v>378</v>
      </c>
      <c r="N52" s="19" t="s">
        <v>379</v>
      </c>
      <c r="O52" s="31" t="s">
        <v>248</v>
      </c>
      <c r="P52" s="53">
        <v>45982</v>
      </c>
      <c r="Q52" s="40">
        <f t="shared" si="0"/>
        <v>11</v>
      </c>
      <c r="R52" s="40"/>
    </row>
    <row r="53" spans="1:18" x14ac:dyDescent="0.2">
      <c r="A53" s="17">
        <v>52</v>
      </c>
      <c r="B53" s="62" t="s">
        <v>248</v>
      </c>
      <c r="C53" s="18">
        <v>121</v>
      </c>
      <c r="D53" s="62" t="s">
        <v>380</v>
      </c>
      <c r="E53" s="18" t="s">
        <v>93</v>
      </c>
      <c r="F53" s="74" t="str">
        <f>IF(E53="","",VLOOKUP(E53,Causas!$A$2:$B$90,2,FALSE))</f>
        <v>Provocado, no se identifica la motivación</v>
      </c>
      <c r="G53" s="70" t="str">
        <f>IF(E53="","",VLOOKUP(E53,Causas!$A$2:$D$90,3,FALSE()))</f>
        <v>2.1</v>
      </c>
      <c r="H53" s="74" t="str">
        <f>IF(E53="","",VLOOKUP(E53,Causas!$A$2:$D$90,4,FALSE()))</f>
        <v>Incendios intencionales</v>
      </c>
      <c r="I53" s="74" t="str">
        <f>IF(E53="","",VLOOKUP(E53,Causas!$A$2:$E$90,5,FALSE()))</f>
        <v>Intencionales</v>
      </c>
      <c r="J53" s="18">
        <v>264447</v>
      </c>
      <c r="K53" s="18">
        <v>6026958</v>
      </c>
      <c r="L53" s="18">
        <v>1.1000000000000001</v>
      </c>
      <c r="M53" s="18" t="s">
        <v>378</v>
      </c>
      <c r="N53" s="19" t="s">
        <v>381</v>
      </c>
      <c r="O53" s="31" t="s">
        <v>248</v>
      </c>
      <c r="P53" s="53">
        <v>45984</v>
      </c>
      <c r="Q53" s="40">
        <f t="shared" si="0"/>
        <v>11</v>
      </c>
      <c r="R53" s="40"/>
    </row>
    <row r="54" spans="1:18" x14ac:dyDescent="0.2">
      <c r="A54" s="17">
        <v>53</v>
      </c>
      <c r="B54" s="62" t="s">
        <v>256</v>
      </c>
      <c r="C54" s="18">
        <v>149</v>
      </c>
      <c r="D54" s="62" t="s">
        <v>382</v>
      </c>
      <c r="E54" s="18" t="s">
        <v>21</v>
      </c>
      <c r="F54" s="74" t="str">
        <f>IF(E54="","",VLOOKUP(E54,Causas!$A$2:$B$90,2,FALSE))</f>
        <v>Empleo de fuentes de calor en actividades relacionadas a parcelaciones (asados, tijerales, fogatas, otros)</v>
      </c>
      <c r="G54" s="70" t="str">
        <f>IF(E54="","",VLOOKUP(E54,Causas!$A$2:$D$90,3,FALSE()))</f>
        <v>4.6</v>
      </c>
      <c r="H54" s="74" t="str">
        <f>IF(E54="","",VLOOKUP(E54,Causas!$A$2:$D$90,4,FALSE()))</f>
        <v>Parcelaciones, edificaciones residenciales, industriales u otras en zonas rurales o de interfaz</v>
      </c>
      <c r="I54" s="74" t="str">
        <f>IF(E54="","",VLOOKUP(E54,Causas!$A$2:$E$90,5,FALSE()))</f>
        <v>Negligentes</v>
      </c>
      <c r="J54" s="18">
        <v>296048</v>
      </c>
      <c r="K54" s="18">
        <v>6101212</v>
      </c>
      <c r="L54" s="18">
        <v>0.4</v>
      </c>
      <c r="M54" s="18" t="s">
        <v>378</v>
      </c>
      <c r="N54" s="19" t="s">
        <v>383</v>
      </c>
      <c r="O54" s="31" t="s">
        <v>242</v>
      </c>
      <c r="P54" s="53">
        <v>45992</v>
      </c>
      <c r="Q54" s="40">
        <f t="shared" si="0"/>
        <v>12</v>
      </c>
      <c r="R54" s="40"/>
    </row>
    <row r="55" spans="1:18" x14ac:dyDescent="0.2">
      <c r="A55" s="17">
        <v>54</v>
      </c>
      <c r="B55" s="62" t="s">
        <v>265</v>
      </c>
      <c r="C55" s="18">
        <v>155</v>
      </c>
      <c r="D55" s="62" t="s">
        <v>384</v>
      </c>
      <c r="E55" s="18" t="s">
        <v>25</v>
      </c>
      <c r="F55" s="74" t="str">
        <f>IF(E55="","",VLOOKUP(E55,Causas!$A$2:$B$90,2,FALSE))</f>
        <v>Quema de basura residencial o desechos vegetales</v>
      </c>
      <c r="G55" s="70" t="str">
        <f>IF(E55="","",VLOOKUP(E55,Causas!$A$2:$D$90,3,FALSE()))</f>
        <v>4.8</v>
      </c>
      <c r="H55" s="74" t="str">
        <f>IF(E55="","",VLOOKUP(E55,Causas!$A$2:$D$90,4,FALSE()))</f>
        <v>Otras quemas</v>
      </c>
      <c r="I55" s="74" t="str">
        <f>IF(E55="","",VLOOKUP(E55,Causas!$A$2:$E$90,5,FALSE()))</f>
        <v>Negligentes</v>
      </c>
      <c r="J55" s="18">
        <v>270049</v>
      </c>
      <c r="K55" s="18">
        <v>6054354</v>
      </c>
      <c r="L55" s="18">
        <v>0.1</v>
      </c>
      <c r="M55" s="18" t="s">
        <v>378</v>
      </c>
      <c r="N55" s="19" t="s">
        <v>385</v>
      </c>
      <c r="O55" s="31" t="s">
        <v>248</v>
      </c>
      <c r="P55" s="53">
        <v>45994</v>
      </c>
      <c r="Q55" s="40">
        <f t="shared" si="0"/>
        <v>12</v>
      </c>
      <c r="R55" s="40"/>
    </row>
    <row r="56" spans="1:18" x14ac:dyDescent="0.2">
      <c r="A56" s="17">
        <v>55</v>
      </c>
      <c r="B56" s="62" t="s">
        <v>265</v>
      </c>
      <c r="C56" s="18">
        <v>125</v>
      </c>
      <c r="D56" s="62" t="s">
        <v>386</v>
      </c>
      <c r="E56" s="18" t="s">
        <v>223</v>
      </c>
      <c r="F56" s="74" t="str">
        <f>IF(E56="","",VLOOKUP(E56,Causas!$A$2:$B$90,2,FALSE))</f>
        <v>Otras actividades negligentes no clasificadas</v>
      </c>
      <c r="G56" s="70" t="str">
        <f>IF(E56="","",VLOOKUP(E56,Causas!$A$2:$D$90,3,FALSE()))</f>
        <v>4.10</v>
      </c>
      <c r="H56" s="74" t="str">
        <f>IF(E56="","",VLOOKUP(E56,Causas!$A$2:$D$90,4,FALSE()))</f>
        <v>Otras causas</v>
      </c>
      <c r="I56" s="74" t="str">
        <f>IF(E56="","",VLOOKUP(E56,Causas!$A$2:$E$90,5,FALSE()))</f>
        <v>Negligentes</v>
      </c>
      <c r="J56" s="18">
        <v>270233</v>
      </c>
      <c r="K56" s="18">
        <v>6053591</v>
      </c>
      <c r="L56" s="18">
        <v>0.3</v>
      </c>
      <c r="M56" s="18" t="s">
        <v>378</v>
      </c>
      <c r="N56" s="19" t="s">
        <v>387</v>
      </c>
      <c r="O56" s="31" t="s">
        <v>248</v>
      </c>
      <c r="P56" s="53">
        <v>45985</v>
      </c>
      <c r="Q56" s="40">
        <f t="shared" si="0"/>
        <v>11</v>
      </c>
      <c r="R56" s="40"/>
    </row>
    <row r="57" spans="1:18" x14ac:dyDescent="0.2">
      <c r="A57" s="17">
        <v>56</v>
      </c>
      <c r="B57" s="62" t="s">
        <v>272</v>
      </c>
      <c r="C57" s="18">
        <v>173</v>
      </c>
      <c r="D57" s="62" t="s">
        <v>388</v>
      </c>
      <c r="E57" s="18" t="s">
        <v>165</v>
      </c>
      <c r="F57" s="74" t="str">
        <f>IF(E57="","",VLOOKUP(E57,Causas!$A$2:$B$90,2,FALSE))</f>
        <v>Generado por el uso de equipos o herramientas con fines de construcción, limpieza o montaje de estructuras</v>
      </c>
      <c r="G57" s="70" t="str">
        <f>IF(E57="","",VLOOKUP(E57,Causas!$A$2:$D$90,3,FALSE()))</f>
        <v>4.6</v>
      </c>
      <c r="H57" s="74" t="str">
        <f>IF(E57="","",VLOOKUP(E57,Causas!$A$2:$D$90,4,FALSE()))</f>
        <v>Parcelaciones, edificaciones residenciales, industriales u otras en zonas rurales o de interfaz</v>
      </c>
      <c r="I57" s="74" t="str">
        <f>IF(E57="","",VLOOKUP(E57,Causas!$A$2:$E$90,5,FALSE()))</f>
        <v>Negligentes</v>
      </c>
      <c r="J57" s="18">
        <v>259902</v>
      </c>
      <c r="K57" s="18">
        <v>6043076</v>
      </c>
      <c r="L57" s="18">
        <v>0.5</v>
      </c>
      <c r="M57" s="18" t="s">
        <v>378</v>
      </c>
      <c r="N57" s="19" t="s">
        <v>389</v>
      </c>
      <c r="O57" s="31" t="s">
        <v>248</v>
      </c>
      <c r="P57" s="53">
        <v>45997</v>
      </c>
      <c r="Q57" s="40">
        <f t="shared" si="0"/>
        <v>12</v>
      </c>
      <c r="R57" s="40"/>
    </row>
    <row r="58" spans="1:18" x14ac:dyDescent="0.2">
      <c r="A58" s="17">
        <v>57</v>
      </c>
      <c r="B58" s="62" t="s">
        <v>265</v>
      </c>
      <c r="C58" s="18">
        <v>153</v>
      </c>
      <c r="D58" s="62" t="s">
        <v>390</v>
      </c>
      <c r="E58" s="18" t="s">
        <v>134</v>
      </c>
      <c r="F58" s="74" t="str">
        <f>IF(E58="","",VLOOKUP(E58,Causas!$A$2:$B$90,2,FALSE))</f>
        <v>Quema no avisada de desechos agrícolas que se propaga libre y sin control</v>
      </c>
      <c r="G58" s="70" t="str">
        <f>IF(E58="","",VLOOKUP(E58,Causas!$A$2:$D$90,3,FALSE()))</f>
        <v>4.2</v>
      </c>
      <c r="H58" s="74" t="str">
        <f>IF(E58="","",VLOOKUP(E58,Causas!$A$2:$D$90,4,FALSE()))</f>
        <v>Faenas agrícolas y pecuarias</v>
      </c>
      <c r="I58" s="74" t="str">
        <f>IF(E58="","",VLOOKUP(E58,Causas!$A$2:$E$90,5,FALSE()))</f>
        <v>Negligentes</v>
      </c>
      <c r="J58" s="18">
        <v>266773</v>
      </c>
      <c r="K58" s="18">
        <v>6057108</v>
      </c>
      <c r="L58" s="18">
        <v>0.2</v>
      </c>
      <c r="M58" s="18" t="s">
        <v>378</v>
      </c>
      <c r="N58" s="19" t="s">
        <v>391</v>
      </c>
      <c r="O58" s="31" t="s">
        <v>248</v>
      </c>
      <c r="P58" s="53">
        <v>45993</v>
      </c>
      <c r="Q58" s="40">
        <f t="shared" si="0"/>
        <v>12</v>
      </c>
      <c r="R58" s="40"/>
    </row>
    <row r="59" spans="1:18" x14ac:dyDescent="0.2">
      <c r="A59" s="17">
        <v>58</v>
      </c>
      <c r="B59" s="62" t="s">
        <v>265</v>
      </c>
      <c r="C59" s="18">
        <v>158</v>
      </c>
      <c r="D59" s="62" t="s">
        <v>332</v>
      </c>
      <c r="E59" s="18" t="s">
        <v>150</v>
      </c>
      <c r="F59" s="74" t="str">
        <f>IF(E59="","",VLOOKUP(E59,Causas!$A$2:$B$90,2,FALSE))</f>
        <v>Empleo de fuentes de calor en áreas no habilitadas, como fogatas para cocinar, cocinillas, calefacción, elementos para iluminar u otros.</v>
      </c>
      <c r="G59" s="70" t="str">
        <f>IF(E59="","",VLOOKUP(E59,Causas!$A$2:$D$90,3,FALSE()))</f>
        <v>4.3</v>
      </c>
      <c r="H59" s="74" t="str">
        <f>IF(E59="","",VLOOKUP(E59,Causas!$A$2:$D$90,4,FALSE()))</f>
        <v>Actividades al aire libre (camping, excursiones, caza, pesca, otros)</v>
      </c>
      <c r="I59" s="74" t="str">
        <f>IF(E59="","",VLOOKUP(E59,Causas!$A$2:$E$90,5,FALSE()))</f>
        <v>Negligentes</v>
      </c>
      <c r="J59" s="18">
        <v>267650</v>
      </c>
      <c r="K59" s="18">
        <v>6057117</v>
      </c>
      <c r="L59" s="18">
        <v>6</v>
      </c>
      <c r="M59" s="18" t="s">
        <v>378</v>
      </c>
      <c r="N59" s="19" t="s">
        <v>392</v>
      </c>
      <c r="O59" s="31" t="s">
        <v>248</v>
      </c>
      <c r="P59" s="53">
        <v>45994</v>
      </c>
      <c r="Q59" s="40">
        <f t="shared" si="0"/>
        <v>12</v>
      </c>
      <c r="R59" s="40"/>
    </row>
    <row r="60" spans="1:18" x14ac:dyDescent="0.2">
      <c r="A60" s="17">
        <v>59</v>
      </c>
      <c r="B60" s="62" t="s">
        <v>253</v>
      </c>
      <c r="C60" s="18">
        <v>176</v>
      </c>
      <c r="D60" s="62" t="s">
        <v>393</v>
      </c>
      <c r="E60" s="18" t="s">
        <v>207</v>
      </c>
      <c r="F60" s="74" t="str">
        <f>IF(E60="","",VLOOKUP(E60,Causas!$A$2:$B$90,2,FALSE))</f>
        <v>Acciones asociadas a fumar</v>
      </c>
      <c r="G60" s="70" t="str">
        <f>IF(E60="","",VLOOKUP(E60,Causas!$A$2:$D$90,3,FALSE()))</f>
        <v>4.10</v>
      </c>
      <c r="H60" s="74" t="str">
        <f>IF(E60="","",VLOOKUP(E60,Causas!$A$2:$D$90,4,FALSE()))</f>
        <v>Otras causas</v>
      </c>
      <c r="I60" s="74" t="str">
        <f>IF(E60="","",VLOOKUP(E60,Causas!$A$2:$E$90,5,FALSE()))</f>
        <v>Negligentes</v>
      </c>
      <c r="J60" s="18">
        <v>295850</v>
      </c>
      <c r="K60" s="18">
        <v>6121946</v>
      </c>
      <c r="L60" s="18">
        <v>0.3</v>
      </c>
      <c r="M60" s="18" t="s">
        <v>378</v>
      </c>
      <c r="N60" s="19" t="s">
        <v>394</v>
      </c>
      <c r="O60" s="31" t="s">
        <v>253</v>
      </c>
      <c r="P60" s="53">
        <v>45997</v>
      </c>
      <c r="Q60" s="40">
        <f t="shared" si="0"/>
        <v>12</v>
      </c>
      <c r="R60" s="40"/>
    </row>
    <row r="61" spans="1:18" x14ac:dyDescent="0.2">
      <c r="A61" s="17">
        <v>60</v>
      </c>
      <c r="B61" s="62" t="s">
        <v>256</v>
      </c>
      <c r="C61" s="18">
        <v>192</v>
      </c>
      <c r="D61" s="62" t="s">
        <v>395</v>
      </c>
      <c r="E61" s="18" t="s">
        <v>165</v>
      </c>
      <c r="F61" s="74" t="str">
        <f>IF(E61="","",VLOOKUP(E61,Causas!$A$2:$B$90,2,FALSE))</f>
        <v>Generado por el uso de equipos o herramientas con fines de construcción, limpieza o montaje de estructuras</v>
      </c>
      <c r="G61" s="70" t="str">
        <f>IF(E61="","",VLOOKUP(E61,Causas!$A$2:$D$90,3,FALSE()))</f>
        <v>4.6</v>
      </c>
      <c r="H61" s="74" t="str">
        <f>IF(E61="","",VLOOKUP(E61,Causas!$A$2:$D$90,4,FALSE()))</f>
        <v>Parcelaciones, edificaciones residenciales, industriales u otras en zonas rurales o de interfaz</v>
      </c>
      <c r="I61" s="74" t="str">
        <f>IF(E61="","",VLOOKUP(E61,Causas!$A$2:$E$90,5,FALSE()))</f>
        <v>Negligentes</v>
      </c>
      <c r="J61" s="18">
        <v>285731</v>
      </c>
      <c r="K61" s="18">
        <v>6106272</v>
      </c>
      <c r="L61" s="18">
        <v>0.3</v>
      </c>
      <c r="M61" s="18" t="s">
        <v>378</v>
      </c>
      <c r="N61" s="19" t="s">
        <v>396</v>
      </c>
      <c r="O61" s="31" t="s">
        <v>242</v>
      </c>
      <c r="P61" s="53">
        <v>46000</v>
      </c>
      <c r="Q61" s="40">
        <f t="shared" si="0"/>
        <v>12</v>
      </c>
      <c r="R61" s="40"/>
    </row>
    <row r="62" spans="1:18" x14ac:dyDescent="0.2">
      <c r="A62" s="17">
        <v>61</v>
      </c>
      <c r="B62" s="62" t="s">
        <v>257</v>
      </c>
      <c r="C62" s="18">
        <v>216</v>
      </c>
      <c r="D62" s="62" t="s">
        <v>397</v>
      </c>
      <c r="E62" s="18" t="s">
        <v>140</v>
      </c>
      <c r="F62" s="74" t="str">
        <f>IF(E62="","",VLOOKUP(E62,Causas!$A$2:$B$90,2,FALSE))</f>
        <v>Partícula incandescente generada sin roce por vehículo, maquinaria o herramienta agrícola</v>
      </c>
      <c r="G62" s="70" t="str">
        <f>IF(E62="","",VLOOKUP(E62,Causas!$A$2:$D$90,3,FALSE()))</f>
        <v>4.2</v>
      </c>
      <c r="H62" s="74" t="str">
        <f>IF(E62="","",VLOOKUP(E62,Causas!$A$2:$D$90,4,FALSE()))</f>
        <v>Faenas agrícolas y pecuarias</v>
      </c>
      <c r="I62" s="74" t="str">
        <f>IF(E62="","",VLOOKUP(E62,Causas!$A$2:$E$90,5,FALSE()))</f>
        <v>Negligentes</v>
      </c>
      <c r="J62" s="20">
        <v>271363</v>
      </c>
      <c r="K62" s="18">
        <v>6096333</v>
      </c>
      <c r="L62" s="20">
        <v>6.7</v>
      </c>
      <c r="M62" s="18" t="s">
        <v>378</v>
      </c>
      <c r="N62" s="19" t="s">
        <v>398</v>
      </c>
      <c r="O62" s="31" t="s">
        <v>242</v>
      </c>
      <c r="P62" s="53">
        <v>46006</v>
      </c>
      <c r="Q62" s="40">
        <f t="shared" si="0"/>
        <v>12</v>
      </c>
      <c r="R62" s="40"/>
    </row>
    <row r="63" spans="1:18" x14ac:dyDescent="0.2">
      <c r="A63" s="17">
        <v>62</v>
      </c>
      <c r="B63" s="62" t="s">
        <v>12</v>
      </c>
      <c r="C63" s="18">
        <v>204</v>
      </c>
      <c r="D63" s="62" t="s">
        <v>399</v>
      </c>
      <c r="E63" s="18" t="s">
        <v>150</v>
      </c>
      <c r="F63" s="74" t="str">
        <f>IF(E63="","",VLOOKUP(E63,Causas!$A$2:$B$90,2,FALSE))</f>
        <v>Empleo de fuentes de calor en áreas no habilitadas, como fogatas para cocinar, cocinillas, calefacción, elementos para iluminar u otros.</v>
      </c>
      <c r="G63" s="70" t="str">
        <f>IF(E63="","",VLOOKUP(E63,Causas!$A$2:$D$90,3,FALSE()))</f>
        <v>4.3</v>
      </c>
      <c r="H63" s="74" t="str">
        <f>IF(E63="","",VLOOKUP(E63,Causas!$A$2:$D$90,4,FALSE()))</f>
        <v>Actividades al aire libre (camping, excursiones, caza, pesca, otros)</v>
      </c>
      <c r="I63" s="74" t="str">
        <f>IF(E63="","",VLOOKUP(E63,Causas!$A$2:$E$90,5,FALSE()))</f>
        <v>Negligentes</v>
      </c>
      <c r="J63" s="23">
        <v>254847</v>
      </c>
      <c r="K63" s="27">
        <v>6072629</v>
      </c>
      <c r="L63" s="20">
        <v>6</v>
      </c>
      <c r="M63" s="18" t="s">
        <v>378</v>
      </c>
      <c r="N63" s="19" t="s">
        <v>400</v>
      </c>
      <c r="O63" s="31" t="s">
        <v>242</v>
      </c>
      <c r="P63" s="53">
        <v>46004</v>
      </c>
      <c r="Q63" s="40">
        <f t="shared" si="0"/>
        <v>12</v>
      </c>
      <c r="R63" s="40"/>
    </row>
    <row r="64" spans="1:18" x14ac:dyDescent="0.2">
      <c r="A64" s="17">
        <v>63</v>
      </c>
      <c r="B64" s="62" t="s">
        <v>27</v>
      </c>
      <c r="C64" s="18">
        <v>208</v>
      </c>
      <c r="D64" s="62" t="s">
        <v>401</v>
      </c>
      <c r="E64" s="18" t="s">
        <v>93</v>
      </c>
      <c r="F64" s="74" t="str">
        <f>IF(E64="","",VLOOKUP(E64,Causas!$A$2:$B$90,2,FALSE))</f>
        <v>Provocado, no se identifica la motivación</v>
      </c>
      <c r="G64" s="70" t="str">
        <f>IF(E64="","",VLOOKUP(E64,Causas!$A$2:$D$90,3,FALSE()))</f>
        <v>2.1</v>
      </c>
      <c r="H64" s="74" t="str">
        <f>IF(E64="","",VLOOKUP(E64,Causas!$A$2:$D$90,4,FALSE()))</f>
        <v>Incendios intencionales</v>
      </c>
      <c r="I64" s="74" t="str">
        <f>IF(E64="","",VLOOKUP(E64,Causas!$A$2:$E$90,5,FALSE()))</f>
        <v>Intencionales</v>
      </c>
      <c r="J64" s="26">
        <v>733447</v>
      </c>
      <c r="K64" s="21">
        <v>6084717</v>
      </c>
      <c r="L64" s="20">
        <v>70</v>
      </c>
      <c r="M64" s="18" t="s">
        <v>378</v>
      </c>
      <c r="N64" s="19" t="s">
        <v>402</v>
      </c>
      <c r="O64" s="31" t="s">
        <v>242</v>
      </c>
      <c r="P64" s="53">
        <v>46004</v>
      </c>
      <c r="Q64" s="40">
        <f t="shared" si="0"/>
        <v>12</v>
      </c>
      <c r="R64" s="40"/>
    </row>
    <row r="65" spans="1:18" x14ac:dyDescent="0.2">
      <c r="A65" s="17">
        <v>64</v>
      </c>
      <c r="B65" s="62" t="s">
        <v>272</v>
      </c>
      <c r="C65" s="18">
        <v>219</v>
      </c>
      <c r="D65" s="62" t="s">
        <v>403</v>
      </c>
      <c r="E65" s="18" t="s">
        <v>140</v>
      </c>
      <c r="F65" s="74" t="str">
        <f>IF(E65="","",VLOOKUP(E65,Causas!$A$2:$B$90,2,FALSE))</f>
        <v>Partícula incandescente generada sin roce por vehículo, maquinaria o herramienta agrícola</v>
      </c>
      <c r="G65" s="70" t="str">
        <f>IF(E65="","",VLOOKUP(E65,Causas!$A$2:$D$90,3,FALSE()))</f>
        <v>4.2</v>
      </c>
      <c r="H65" s="74" t="str">
        <f>IF(E65="","",VLOOKUP(E65,Causas!$A$2:$D$90,4,FALSE()))</f>
        <v>Faenas agrícolas y pecuarias</v>
      </c>
      <c r="I65" s="74" t="str">
        <f>IF(E65="","",VLOOKUP(E65,Causas!$A$2:$E$90,5,FALSE()))</f>
        <v>Negligentes</v>
      </c>
      <c r="J65" s="28">
        <v>251049</v>
      </c>
      <c r="K65" s="28">
        <v>6054852</v>
      </c>
      <c r="L65" s="18">
        <v>10.9</v>
      </c>
      <c r="M65" s="18" t="s">
        <v>378</v>
      </c>
      <c r="N65" s="19" t="s">
        <v>404</v>
      </c>
      <c r="O65" s="31" t="s">
        <v>248</v>
      </c>
      <c r="P65" s="53">
        <v>46006</v>
      </c>
      <c r="Q65" s="40">
        <f t="shared" si="0"/>
        <v>12</v>
      </c>
      <c r="R65" s="40"/>
    </row>
    <row r="66" spans="1:18" x14ac:dyDescent="0.2">
      <c r="A66" s="17">
        <v>65</v>
      </c>
      <c r="B66" s="62" t="s">
        <v>258</v>
      </c>
      <c r="C66" s="18">
        <v>225</v>
      </c>
      <c r="D66" s="62" t="s">
        <v>405</v>
      </c>
      <c r="E66" s="18" t="s">
        <v>165</v>
      </c>
      <c r="F66" s="74" t="str">
        <f>IF(E66="","",VLOOKUP(E66,Causas!$A$2:$B$90,2,FALSE))</f>
        <v>Generado por el uso de equipos o herramientas con fines de construcción, limpieza o montaje de estructuras</v>
      </c>
      <c r="G66" s="70" t="str">
        <f>IF(E66="","",VLOOKUP(E66,Causas!$A$2:$D$90,3,FALSE()))</f>
        <v>4.6</v>
      </c>
      <c r="H66" s="74" t="str">
        <f>IF(E66="","",VLOOKUP(E66,Causas!$A$2:$D$90,4,FALSE()))</f>
        <v>Parcelaciones, edificaciones residenciales, industriales u otras en zonas rurales o de interfaz</v>
      </c>
      <c r="I66" s="74" t="str">
        <f>IF(E66="","",VLOOKUP(E66,Causas!$A$2:$E$90,5,FALSE()))</f>
        <v>Negligentes</v>
      </c>
      <c r="J66" s="18">
        <v>252245</v>
      </c>
      <c r="K66" s="18">
        <v>6018844</v>
      </c>
      <c r="L66" s="18">
        <v>74</v>
      </c>
      <c r="M66" s="18" t="s">
        <v>378</v>
      </c>
      <c r="N66" s="19" t="s">
        <v>406</v>
      </c>
      <c r="O66" s="31" t="s">
        <v>248</v>
      </c>
      <c r="P66" s="53">
        <v>46007</v>
      </c>
      <c r="Q66" s="40">
        <f t="shared" si="0"/>
        <v>12</v>
      </c>
      <c r="R66" s="40"/>
    </row>
    <row r="67" spans="1:18" x14ac:dyDescent="0.2">
      <c r="A67" s="17">
        <v>66</v>
      </c>
      <c r="B67" s="62" t="s">
        <v>254</v>
      </c>
      <c r="C67" s="18">
        <v>229</v>
      </c>
      <c r="D67" s="62" t="s">
        <v>407</v>
      </c>
      <c r="E67" s="18" t="s">
        <v>65</v>
      </c>
      <c r="F67" s="74" t="str">
        <f>IF(E67="","",VLOOKUP(E67,Causas!$A$2:$B$90,2,FALSE))</f>
        <v>Incendio estructural</v>
      </c>
      <c r="G67" s="70" t="str">
        <f>IF(E67="","",VLOOKUP(E67,Causas!$A$2:$D$90,3,FALSE()))</f>
        <v>1.6</v>
      </c>
      <c r="H67" s="74" t="str">
        <f>IF(E67="","",VLOOKUP(E67,Causas!$A$2:$D$90,4,FALSE()))</f>
        <v>Parcelaciones, edificaciones residenciales, industriales u otras en zonas rurales o de interfaz</v>
      </c>
      <c r="I67" s="74" t="str">
        <f>IF(E67="","",VLOOKUP(E67,Causas!$A$2:$E$90,5,FALSE()))</f>
        <v>Accidentales</v>
      </c>
      <c r="J67" s="18">
        <v>244479</v>
      </c>
      <c r="K67" s="18">
        <v>6045559</v>
      </c>
      <c r="L67" s="18">
        <v>0.75</v>
      </c>
      <c r="M67" s="18" t="s">
        <v>378</v>
      </c>
      <c r="N67" s="19" t="s">
        <v>408</v>
      </c>
      <c r="O67" s="31" t="s">
        <v>248</v>
      </c>
      <c r="P67" s="53">
        <v>46008</v>
      </c>
      <c r="Q67" s="40">
        <f t="shared" ref="Q67:Q130" si="1">MONTH(P67)</f>
        <v>12</v>
      </c>
      <c r="R67" s="40"/>
    </row>
    <row r="68" spans="1:18" x14ac:dyDescent="0.2">
      <c r="A68" s="17">
        <v>67</v>
      </c>
      <c r="B68" s="62" t="s">
        <v>254</v>
      </c>
      <c r="C68" s="18">
        <v>223</v>
      </c>
      <c r="D68" s="62" t="s">
        <v>409</v>
      </c>
      <c r="E68" s="18" t="s">
        <v>93</v>
      </c>
      <c r="F68" s="74" t="str">
        <f>IF(E68="","",VLOOKUP(E68,Causas!$A$2:$B$90,2,FALSE))</f>
        <v>Provocado, no se identifica la motivación</v>
      </c>
      <c r="G68" s="70" t="str">
        <f>IF(E68="","",VLOOKUP(E68,Causas!$A$2:$D$90,3,FALSE()))</f>
        <v>2.1</v>
      </c>
      <c r="H68" s="74" t="str">
        <f>IF(E68="","",VLOOKUP(E68,Causas!$A$2:$D$90,4,FALSE()))</f>
        <v>Incendios intencionales</v>
      </c>
      <c r="I68" s="74" t="str">
        <f>IF(E68="","",VLOOKUP(E68,Causas!$A$2:$E$90,5,FALSE()))</f>
        <v>Intencionales</v>
      </c>
      <c r="J68" s="18">
        <v>245683</v>
      </c>
      <c r="K68" s="18">
        <v>6044685</v>
      </c>
      <c r="L68" s="18">
        <v>0.8</v>
      </c>
      <c r="M68" s="18" t="s">
        <v>378</v>
      </c>
      <c r="N68" s="19" t="s">
        <v>410</v>
      </c>
      <c r="O68" s="31" t="s">
        <v>248</v>
      </c>
      <c r="P68" s="53">
        <v>46007</v>
      </c>
      <c r="Q68" s="40">
        <f t="shared" si="1"/>
        <v>12</v>
      </c>
      <c r="R68" s="40"/>
    </row>
    <row r="69" spans="1:18" x14ac:dyDescent="0.2">
      <c r="A69" s="17">
        <v>68</v>
      </c>
      <c r="B69" s="62" t="s">
        <v>254</v>
      </c>
      <c r="C69" s="18">
        <v>239</v>
      </c>
      <c r="D69" s="62" t="s">
        <v>411</v>
      </c>
      <c r="E69" s="18" t="s">
        <v>148</v>
      </c>
      <c r="F69" s="74" t="str">
        <f>IF(E69="","",VLOOKUP(E69,Causas!$A$2:$B$90,2,FALSE))</f>
        <v>Otras causas negligentes no clasificadas en faenas agrícolas y pecuarias</v>
      </c>
      <c r="G69" s="70" t="str">
        <f>IF(E69="","",VLOOKUP(E69,Causas!$A$2:$D$90,3,FALSE()))</f>
        <v>4.2</v>
      </c>
      <c r="H69" s="74" t="str">
        <f>IF(E69="","",VLOOKUP(E69,Causas!$A$2:$D$90,4,FALSE()))</f>
        <v>Faenas agrícolas y pecuarias</v>
      </c>
      <c r="I69" s="74" t="str">
        <f>IF(E69="","",VLOOKUP(E69,Causas!$A$2:$E$90,5,FALSE()))</f>
        <v>Negligentes</v>
      </c>
      <c r="J69" s="18">
        <v>254847</v>
      </c>
      <c r="K69" s="18">
        <v>6072629</v>
      </c>
      <c r="L69" s="18">
        <v>0.1</v>
      </c>
      <c r="M69" s="18" t="s">
        <v>378</v>
      </c>
      <c r="N69" s="19" t="s">
        <v>412</v>
      </c>
      <c r="O69" s="31" t="s">
        <v>248</v>
      </c>
      <c r="P69" s="53">
        <v>46010</v>
      </c>
      <c r="Q69" s="40">
        <f t="shared" si="1"/>
        <v>12</v>
      </c>
      <c r="R69" s="40"/>
    </row>
    <row r="70" spans="1:18" x14ac:dyDescent="0.2">
      <c r="A70" s="17">
        <v>69</v>
      </c>
      <c r="B70" s="62" t="s">
        <v>272</v>
      </c>
      <c r="C70" s="18">
        <v>231</v>
      </c>
      <c r="D70" s="62" t="s">
        <v>413</v>
      </c>
      <c r="E70" s="18" t="s">
        <v>140</v>
      </c>
      <c r="F70" s="74" t="str">
        <f>IF(E70="","",VLOOKUP(E70,Causas!$A$2:$B$90,2,FALSE))</f>
        <v>Partícula incandescente generada sin roce por vehículo, maquinaria o herramienta agrícola</v>
      </c>
      <c r="G70" s="70" t="str">
        <f>IF(E70="","",VLOOKUP(E70,Causas!$A$2:$D$90,3,FALSE()))</f>
        <v>4.2</v>
      </c>
      <c r="H70" s="74" t="str">
        <f>IF(E70="","",VLOOKUP(E70,Causas!$A$2:$D$90,4,FALSE()))</f>
        <v>Faenas agrícolas y pecuarias</v>
      </c>
      <c r="I70" s="74" t="str">
        <f>IF(E70="","",VLOOKUP(E70,Causas!$A$2:$E$90,5,FALSE()))</f>
        <v>Negligentes</v>
      </c>
      <c r="J70" s="18">
        <v>251124</v>
      </c>
      <c r="K70" s="18">
        <v>6055734</v>
      </c>
      <c r="L70" s="18">
        <v>5</v>
      </c>
      <c r="M70" s="18" t="s">
        <v>378</v>
      </c>
      <c r="N70" s="19" t="s">
        <v>414</v>
      </c>
      <c r="O70" s="31" t="s">
        <v>248</v>
      </c>
      <c r="P70" s="53">
        <v>46008</v>
      </c>
      <c r="Q70" s="40">
        <f t="shared" si="1"/>
        <v>12</v>
      </c>
      <c r="R70" s="40"/>
    </row>
    <row r="71" spans="1:18" x14ac:dyDescent="0.2">
      <c r="A71" s="17">
        <v>70</v>
      </c>
      <c r="B71" s="62" t="s">
        <v>246</v>
      </c>
      <c r="C71" s="18">
        <v>184</v>
      </c>
      <c r="D71" s="62" t="s">
        <v>415</v>
      </c>
      <c r="E71" s="18" t="s">
        <v>93</v>
      </c>
      <c r="F71" s="74" t="str">
        <f>IF(E71="","",VLOOKUP(E71,Causas!$A$2:$B$90,2,FALSE))</f>
        <v>Provocado, no se identifica la motivación</v>
      </c>
      <c r="G71" s="70" t="str">
        <f>IF(E71="","",VLOOKUP(E71,Causas!$A$2:$D$90,3,FALSE()))</f>
        <v>2.1</v>
      </c>
      <c r="H71" s="74" t="str">
        <f>IF(E71="","",VLOOKUP(E71,Causas!$A$2:$D$90,4,FALSE()))</f>
        <v>Incendios intencionales</v>
      </c>
      <c r="I71" s="74" t="str">
        <f>IF(E71="","",VLOOKUP(E71,Causas!$A$2:$E$90,5,FALSE()))</f>
        <v>Intencionales</v>
      </c>
      <c r="J71" s="18">
        <v>296247</v>
      </c>
      <c r="K71" s="18">
        <v>6113950</v>
      </c>
      <c r="L71" s="18">
        <v>0.6</v>
      </c>
      <c r="M71" s="18" t="s">
        <v>378</v>
      </c>
      <c r="N71" s="19" t="s">
        <v>416</v>
      </c>
      <c r="O71" s="31" t="s">
        <v>253</v>
      </c>
      <c r="P71" s="53">
        <v>45999</v>
      </c>
      <c r="Q71" s="40">
        <f t="shared" si="1"/>
        <v>12</v>
      </c>
      <c r="R71" s="40"/>
    </row>
    <row r="72" spans="1:18" x14ac:dyDescent="0.2">
      <c r="A72" s="17">
        <v>71</v>
      </c>
      <c r="B72" s="62" t="s">
        <v>246</v>
      </c>
      <c r="C72" s="18">
        <v>183</v>
      </c>
      <c r="D72" s="62" t="s">
        <v>417</v>
      </c>
      <c r="E72" s="18" t="s">
        <v>93</v>
      </c>
      <c r="F72" s="74" t="str">
        <f>IF(E72="","",VLOOKUP(E72,Causas!$A$2:$B$90,2,FALSE))</f>
        <v>Provocado, no se identifica la motivación</v>
      </c>
      <c r="G72" s="70" t="str">
        <f>IF(E72="","",VLOOKUP(E72,Causas!$A$2:$D$90,3,FALSE()))</f>
        <v>2.1</v>
      </c>
      <c r="H72" s="74" t="str">
        <f>IF(E72="","",VLOOKUP(E72,Causas!$A$2:$D$90,4,FALSE()))</f>
        <v>Incendios intencionales</v>
      </c>
      <c r="I72" s="74" t="str">
        <f>IF(E72="","",VLOOKUP(E72,Causas!$A$2:$E$90,5,FALSE()))</f>
        <v>Intencionales</v>
      </c>
      <c r="J72" s="27">
        <v>297363</v>
      </c>
      <c r="K72" s="27">
        <v>6113005</v>
      </c>
      <c r="L72" s="27">
        <v>0.2</v>
      </c>
      <c r="M72" s="27" t="s">
        <v>378</v>
      </c>
      <c r="N72" s="19" t="s">
        <v>418</v>
      </c>
      <c r="O72" s="31" t="s">
        <v>253</v>
      </c>
      <c r="P72" s="53">
        <v>45999</v>
      </c>
      <c r="Q72" s="40">
        <f t="shared" si="1"/>
        <v>12</v>
      </c>
      <c r="R72" s="40"/>
    </row>
    <row r="73" spans="1:18" x14ac:dyDescent="0.2">
      <c r="A73" s="17">
        <v>72</v>
      </c>
      <c r="B73" s="62" t="s">
        <v>249</v>
      </c>
      <c r="C73" s="18">
        <v>257</v>
      </c>
      <c r="D73" s="62" t="s">
        <v>413</v>
      </c>
      <c r="E73" s="18" t="s">
        <v>165</v>
      </c>
      <c r="F73" s="74" t="str">
        <f>IF(E73="","",VLOOKUP(E73,Causas!$A$2:$B$90,2,FALSE))</f>
        <v>Generado por el uso de equipos o herramientas con fines de construcción, limpieza o montaje de estructuras</v>
      </c>
      <c r="G73" s="70" t="str">
        <f>IF(E73="","",VLOOKUP(E73,Causas!$A$2:$D$90,3,FALSE()))</f>
        <v>4.6</v>
      </c>
      <c r="H73" s="74" t="str">
        <f>IF(E73="","",VLOOKUP(E73,Causas!$A$2:$D$90,4,FALSE()))</f>
        <v>Parcelaciones, edificaciones residenciales, industriales u otras en zonas rurales o de interfaz</v>
      </c>
      <c r="I73" s="74" t="str">
        <f>IF(E73="","",VLOOKUP(E73,Causas!$A$2:$E$90,5,FALSE()))</f>
        <v>Negligentes</v>
      </c>
      <c r="J73" s="25">
        <v>285291</v>
      </c>
      <c r="K73" s="25">
        <v>6070896</v>
      </c>
      <c r="L73" s="25">
        <v>8</v>
      </c>
      <c r="M73" s="25" t="s">
        <v>378</v>
      </c>
      <c r="N73" s="24" t="s">
        <v>419</v>
      </c>
      <c r="O73" s="31" t="s">
        <v>242</v>
      </c>
      <c r="P73" s="53">
        <v>46013</v>
      </c>
      <c r="Q73" s="40">
        <f t="shared" si="1"/>
        <v>12</v>
      </c>
      <c r="R73" s="40"/>
    </row>
    <row r="74" spans="1:18" x14ac:dyDescent="0.2">
      <c r="A74" s="17">
        <v>73</v>
      </c>
      <c r="B74" s="62" t="s">
        <v>257</v>
      </c>
      <c r="C74" s="18">
        <v>227</v>
      </c>
      <c r="D74" s="62" t="s">
        <v>420</v>
      </c>
      <c r="E74" s="18" t="s">
        <v>140</v>
      </c>
      <c r="F74" s="74" t="str">
        <f>IF(E74="","",VLOOKUP(E74,Causas!$A$2:$B$90,2,FALSE))</f>
        <v>Partícula incandescente generada sin roce por vehículo, maquinaria o herramienta agrícola</v>
      </c>
      <c r="G74" s="70" t="str">
        <f>IF(E74="","",VLOOKUP(E74,Causas!$A$2:$D$90,3,FALSE()))</f>
        <v>4.2</v>
      </c>
      <c r="H74" s="74" t="str">
        <f>IF(E74="","",VLOOKUP(E74,Causas!$A$2:$D$90,4,FALSE()))</f>
        <v>Faenas agrícolas y pecuarias</v>
      </c>
      <c r="I74" s="74" t="str">
        <f>IF(E74="","",VLOOKUP(E74,Causas!$A$2:$E$90,5,FALSE()))</f>
        <v>Negligentes</v>
      </c>
      <c r="J74" s="28">
        <v>273331</v>
      </c>
      <c r="K74" s="28">
        <v>6085071</v>
      </c>
      <c r="L74" s="28">
        <v>0.5</v>
      </c>
      <c r="M74" s="28" t="s">
        <v>378</v>
      </c>
      <c r="N74" s="19" t="s">
        <v>421</v>
      </c>
      <c r="O74" s="31" t="s">
        <v>242</v>
      </c>
      <c r="P74" s="53">
        <v>46008</v>
      </c>
      <c r="Q74" s="40">
        <f t="shared" si="1"/>
        <v>12</v>
      </c>
      <c r="R74" s="40"/>
    </row>
    <row r="75" spans="1:18" x14ac:dyDescent="0.2">
      <c r="A75" s="17">
        <v>74</v>
      </c>
      <c r="B75" s="62" t="s">
        <v>12</v>
      </c>
      <c r="C75" s="18">
        <v>267</v>
      </c>
      <c r="D75" s="62" t="s">
        <v>422</v>
      </c>
      <c r="E75" s="18" t="s">
        <v>150</v>
      </c>
      <c r="F75" s="74" t="str">
        <f>IF(E75="","",VLOOKUP(E75,Causas!$A$2:$B$90,2,FALSE))</f>
        <v>Empleo de fuentes de calor en áreas no habilitadas, como fogatas para cocinar, cocinillas, calefacción, elementos para iluminar u otros.</v>
      </c>
      <c r="G75" s="70" t="str">
        <f>IF(E75="","",VLOOKUP(E75,Causas!$A$2:$D$90,3,FALSE()))</f>
        <v>4.3</v>
      </c>
      <c r="H75" s="74" t="str">
        <f>IF(E75="","",VLOOKUP(E75,Causas!$A$2:$D$90,4,FALSE()))</f>
        <v>Actividades al aire libre (camping, excursiones, caza, pesca, otros)</v>
      </c>
      <c r="I75" s="74" t="str">
        <f>IF(E75="","",VLOOKUP(E75,Causas!$A$2:$E$90,5,FALSE()))</f>
        <v>Negligentes</v>
      </c>
      <c r="J75" s="18">
        <v>254222</v>
      </c>
      <c r="K75" s="18">
        <v>6061446</v>
      </c>
      <c r="L75" s="18">
        <v>1127</v>
      </c>
      <c r="M75" s="28" t="s">
        <v>378</v>
      </c>
      <c r="N75" s="19" t="s">
        <v>423</v>
      </c>
      <c r="O75" s="31" t="s">
        <v>242</v>
      </c>
      <c r="P75" s="53">
        <v>46015</v>
      </c>
      <c r="Q75" s="40">
        <f t="shared" si="1"/>
        <v>12</v>
      </c>
      <c r="R75" s="40"/>
    </row>
    <row r="76" spans="1:18" x14ac:dyDescent="0.2">
      <c r="A76" s="17">
        <v>75</v>
      </c>
      <c r="B76" s="62" t="s">
        <v>12</v>
      </c>
      <c r="C76" s="18">
        <v>280</v>
      </c>
      <c r="D76" s="62" t="s">
        <v>424</v>
      </c>
      <c r="E76" s="18" t="s">
        <v>207</v>
      </c>
      <c r="F76" s="74" t="str">
        <f>IF(E76="","",VLOOKUP(E76,Causas!$A$2:$B$90,2,FALSE))</f>
        <v>Acciones asociadas a fumar</v>
      </c>
      <c r="G76" s="70" t="str">
        <f>IF(E76="","",VLOOKUP(E76,Causas!$A$2:$D$90,3,FALSE()))</f>
        <v>4.10</v>
      </c>
      <c r="H76" s="74" t="str">
        <f>IF(E76="","",VLOOKUP(E76,Causas!$A$2:$D$90,4,FALSE()))</f>
        <v>Otras causas</v>
      </c>
      <c r="I76" s="74" t="str">
        <f>IF(E76="","",VLOOKUP(E76,Causas!$A$2:$E$90,5,FALSE()))</f>
        <v>Negligentes</v>
      </c>
      <c r="J76" s="18">
        <v>241987</v>
      </c>
      <c r="K76" s="18">
        <v>6071028</v>
      </c>
      <c r="L76" s="18">
        <v>330</v>
      </c>
      <c r="M76" s="28" t="s">
        <v>378</v>
      </c>
      <c r="N76" s="19" t="s">
        <v>425</v>
      </c>
      <c r="O76" s="31" t="s">
        <v>242</v>
      </c>
      <c r="P76" s="53">
        <v>46017</v>
      </c>
      <c r="Q76" s="40">
        <f t="shared" si="1"/>
        <v>12</v>
      </c>
      <c r="R76" s="40"/>
    </row>
    <row r="77" spans="1:18" x14ac:dyDescent="0.2">
      <c r="A77" s="17">
        <v>76</v>
      </c>
      <c r="B77" s="62" t="s">
        <v>12</v>
      </c>
      <c r="C77" s="18">
        <v>269</v>
      </c>
      <c r="D77" s="62" t="s">
        <v>426</v>
      </c>
      <c r="E77" s="18" t="s">
        <v>65</v>
      </c>
      <c r="F77" s="74" t="str">
        <f>IF(E77="","",VLOOKUP(E77,Causas!$A$2:$B$90,2,FALSE))</f>
        <v>Incendio estructural</v>
      </c>
      <c r="G77" s="70" t="str">
        <f>IF(E77="","",VLOOKUP(E77,Causas!$A$2:$D$90,3,FALSE()))</f>
        <v>1.6</v>
      </c>
      <c r="H77" s="74" t="str">
        <f>IF(E77="","",VLOOKUP(E77,Causas!$A$2:$D$90,4,FALSE()))</f>
        <v>Parcelaciones, edificaciones residenciales, industriales u otras en zonas rurales o de interfaz</v>
      </c>
      <c r="I77" s="74" t="str">
        <f>IF(E77="","",VLOOKUP(E77,Causas!$A$2:$E$90,5,FALSE()))</f>
        <v>Accidentales</v>
      </c>
      <c r="J77" s="18">
        <v>258388</v>
      </c>
      <c r="K77" s="18">
        <v>6070287</v>
      </c>
      <c r="L77" s="18">
        <v>35</v>
      </c>
      <c r="M77" s="28" t="s">
        <v>427</v>
      </c>
      <c r="N77" s="19" t="s">
        <v>428</v>
      </c>
      <c r="O77" s="31" t="s">
        <v>242</v>
      </c>
      <c r="P77" s="53">
        <v>46015</v>
      </c>
      <c r="Q77" s="40">
        <f t="shared" si="1"/>
        <v>12</v>
      </c>
      <c r="R77" s="40"/>
    </row>
    <row r="78" spans="1:18" x14ac:dyDescent="0.2">
      <c r="A78" s="17">
        <v>77</v>
      </c>
      <c r="B78" s="62" t="s">
        <v>249</v>
      </c>
      <c r="C78" s="18">
        <v>295</v>
      </c>
      <c r="D78" s="62" t="s">
        <v>429</v>
      </c>
      <c r="E78" s="18" t="s">
        <v>165</v>
      </c>
      <c r="F78" s="74" t="str">
        <f>IF(E78="","",VLOOKUP(E78,Causas!$A$2:$B$90,2,FALSE))</f>
        <v>Generado por el uso de equipos o herramientas con fines de construcción, limpieza o montaje de estructuras</v>
      </c>
      <c r="G78" s="70" t="str">
        <f>IF(E78="","",VLOOKUP(E78,Causas!$A$2:$D$90,3,FALSE()))</f>
        <v>4.6</v>
      </c>
      <c r="H78" s="74" t="str">
        <f>IF(E78="","",VLOOKUP(E78,Causas!$A$2:$D$90,4,FALSE()))</f>
        <v>Parcelaciones, edificaciones residenciales, industriales u otras en zonas rurales o de interfaz</v>
      </c>
      <c r="I78" s="74" t="str">
        <f>IF(E78="","",VLOOKUP(E78,Causas!$A$2:$E$90,5,FALSE()))</f>
        <v>Negligentes</v>
      </c>
      <c r="J78" s="18">
        <v>283778</v>
      </c>
      <c r="K78" s="18">
        <v>6070867</v>
      </c>
      <c r="L78" s="18">
        <v>1.3</v>
      </c>
      <c r="M78" s="28" t="s">
        <v>427</v>
      </c>
      <c r="N78" s="19" t="s">
        <v>430</v>
      </c>
      <c r="O78" s="31" t="s">
        <v>242</v>
      </c>
      <c r="P78" s="53">
        <v>46021</v>
      </c>
      <c r="Q78" s="40">
        <f t="shared" si="1"/>
        <v>12</v>
      </c>
      <c r="R78" s="40"/>
    </row>
    <row r="79" spans="1:18" x14ac:dyDescent="0.2">
      <c r="A79" s="17">
        <v>78</v>
      </c>
      <c r="B79" s="62" t="s">
        <v>249</v>
      </c>
      <c r="C79" s="18">
        <v>299</v>
      </c>
      <c r="D79" s="62" t="s">
        <v>431</v>
      </c>
      <c r="E79" s="18" t="s">
        <v>160</v>
      </c>
      <c r="F79" s="74" t="str">
        <f>IF(E79="","",VLOOKUP(E79,Causas!$A$2:$B$90,2,FALSE))</f>
        <v>Rebrote de incendio anterior, declarado extinto</v>
      </c>
      <c r="G79" s="70" t="str">
        <f>IF(E79="","",VLOOKUP(E79,Causas!$A$2:$D$90,3,FALSE()))</f>
        <v>4.5</v>
      </c>
      <c r="H79" s="74" t="str">
        <f>IF(E79="","",VLOOKUP(E79,Causas!$A$2:$D$90,4,FALSE()))</f>
        <v>Actividades de control y extinción de incendios forestales</v>
      </c>
      <c r="I79" s="74" t="str">
        <f>IF(E79="","",VLOOKUP(E79,Causas!$A$2:$E$90,5,FALSE()))</f>
        <v>Negligentes</v>
      </c>
      <c r="J79" s="18">
        <v>283824</v>
      </c>
      <c r="K79" s="18">
        <v>6070817</v>
      </c>
      <c r="L79" s="18">
        <v>1.6</v>
      </c>
      <c r="M79" s="28" t="s">
        <v>427</v>
      </c>
      <c r="N79" s="19" t="s">
        <v>432</v>
      </c>
      <c r="O79" s="31" t="s">
        <v>242</v>
      </c>
      <c r="P79" s="53">
        <v>46021</v>
      </c>
      <c r="Q79" s="40">
        <f t="shared" si="1"/>
        <v>12</v>
      </c>
      <c r="R79" s="40"/>
    </row>
    <row r="80" spans="1:18" x14ac:dyDescent="0.2">
      <c r="A80" s="17">
        <v>79</v>
      </c>
      <c r="B80" s="62" t="s">
        <v>245</v>
      </c>
      <c r="C80" s="18">
        <v>298</v>
      </c>
      <c r="D80" s="62" t="s">
        <v>433</v>
      </c>
      <c r="E80" s="18" t="s">
        <v>165</v>
      </c>
      <c r="F80" s="74" t="str">
        <f>IF(E80="","",VLOOKUP(E80,Causas!$A$2:$B$90,2,FALSE))</f>
        <v>Generado por el uso de equipos o herramientas con fines de construcción, limpieza o montaje de estructuras</v>
      </c>
      <c r="G80" s="70" t="str">
        <f>IF(E80="","",VLOOKUP(E80,Causas!$A$2:$D$90,3,FALSE()))</f>
        <v>4.6</v>
      </c>
      <c r="H80" s="74" t="str">
        <f>IF(E80="","",VLOOKUP(E80,Causas!$A$2:$D$90,4,FALSE()))</f>
        <v>Parcelaciones, edificaciones residenciales, industriales u otras en zonas rurales o de interfaz</v>
      </c>
      <c r="I80" s="74" t="str">
        <f>IF(E80="","",VLOOKUP(E80,Causas!$A$2:$E$90,5,FALSE()))</f>
        <v>Negligentes</v>
      </c>
      <c r="J80" s="18">
        <v>236213</v>
      </c>
      <c r="K80" s="18">
        <v>6086418</v>
      </c>
      <c r="L80" s="18">
        <v>8.6999999999999993</v>
      </c>
      <c r="M80" s="28" t="s">
        <v>427</v>
      </c>
      <c r="N80" s="19" t="s">
        <v>434</v>
      </c>
      <c r="O80" s="31" t="s">
        <v>242</v>
      </c>
      <c r="P80" s="53">
        <v>46021</v>
      </c>
      <c r="Q80" s="40">
        <f t="shared" si="1"/>
        <v>12</v>
      </c>
      <c r="R80" s="40"/>
    </row>
    <row r="81" spans="1:18" x14ac:dyDescent="0.2">
      <c r="A81" s="17">
        <v>80</v>
      </c>
      <c r="B81" s="62" t="s">
        <v>245</v>
      </c>
      <c r="C81" s="18">
        <v>304</v>
      </c>
      <c r="D81" s="62" t="s">
        <v>435</v>
      </c>
      <c r="E81" s="18" t="s">
        <v>167</v>
      </c>
      <c r="F81" s="74" t="str">
        <f>IF(E81="","",VLOOKUP(E81,Causas!$A$2:$B$90,2,FALSE))</f>
        <v>Generado por conexión  irregular de energía eléctrica</v>
      </c>
      <c r="G81" s="70" t="str">
        <f>IF(E81="","",VLOOKUP(E81,Causas!$A$2:$D$90,3,FALSE()))</f>
        <v>4.6</v>
      </c>
      <c r="H81" s="74" t="str">
        <f>IF(E81="","",VLOOKUP(E81,Causas!$A$2:$D$90,4,FALSE()))</f>
        <v>Parcelaciones, edificaciones residenciales, industriales u otras en zonas rurales o de interfaz</v>
      </c>
      <c r="I81" s="74" t="str">
        <f>IF(E81="","",VLOOKUP(E81,Causas!$A$2:$E$90,5,FALSE()))</f>
        <v>Negligentes</v>
      </c>
      <c r="J81" s="18">
        <v>245512</v>
      </c>
      <c r="K81" s="18">
        <v>6079370</v>
      </c>
      <c r="L81" s="18">
        <v>2.27</v>
      </c>
      <c r="M81" s="28" t="s">
        <v>427</v>
      </c>
      <c r="N81" s="19" t="s">
        <v>436</v>
      </c>
      <c r="O81" s="31" t="s">
        <v>242</v>
      </c>
      <c r="P81" s="53">
        <v>46022</v>
      </c>
      <c r="Q81" s="40">
        <f t="shared" si="1"/>
        <v>12</v>
      </c>
      <c r="R81" s="40"/>
    </row>
    <row r="82" spans="1:18" x14ac:dyDescent="0.2">
      <c r="A82" s="17">
        <v>81</v>
      </c>
      <c r="B82" s="62" t="s">
        <v>254</v>
      </c>
      <c r="C82" s="18">
        <v>314</v>
      </c>
      <c r="D82" s="62" t="s">
        <v>437</v>
      </c>
      <c r="E82" s="18" t="s">
        <v>167</v>
      </c>
      <c r="F82" s="74" t="str">
        <f>IF(E82="","",VLOOKUP(E82,Causas!$A$2:$B$90,2,FALSE))</f>
        <v>Generado por conexión  irregular de energía eléctrica</v>
      </c>
      <c r="G82" s="70" t="str">
        <f>IF(E82="","",VLOOKUP(E82,Causas!$A$2:$D$90,3,FALSE()))</f>
        <v>4.6</v>
      </c>
      <c r="H82" s="74" t="str">
        <f>IF(E82="","",VLOOKUP(E82,Causas!$A$2:$D$90,4,FALSE()))</f>
        <v>Parcelaciones, edificaciones residenciales, industriales u otras en zonas rurales o de interfaz</v>
      </c>
      <c r="I82" s="74" t="str">
        <f>IF(E82="","",VLOOKUP(E82,Causas!$A$2:$E$90,5,FALSE()))</f>
        <v>Negligentes</v>
      </c>
      <c r="J82" s="18">
        <v>764311</v>
      </c>
      <c r="K82" s="18">
        <v>6054945</v>
      </c>
      <c r="L82" s="18">
        <v>1.7</v>
      </c>
      <c r="M82" s="28" t="s">
        <v>427</v>
      </c>
      <c r="N82" s="19" t="s">
        <v>438</v>
      </c>
      <c r="O82" s="31" t="s">
        <v>248</v>
      </c>
      <c r="P82" s="53">
        <v>46024</v>
      </c>
      <c r="Q82" s="40">
        <f t="shared" si="1"/>
        <v>1</v>
      </c>
      <c r="R82" s="40"/>
    </row>
    <row r="83" spans="1:18" x14ac:dyDescent="0.2">
      <c r="A83" s="17">
        <v>82</v>
      </c>
      <c r="B83" s="62" t="s">
        <v>247</v>
      </c>
      <c r="C83" s="18">
        <v>310</v>
      </c>
      <c r="D83" s="62" t="s">
        <v>439</v>
      </c>
      <c r="E83" s="18" t="s">
        <v>14</v>
      </c>
      <c r="F83" s="74" t="str">
        <f>IF(E83="","",VLOOKUP(E83,Causas!$A$2:$B$90,2,FALSE))</f>
        <v>Quema no avisada con fines de limpieza en canales, cunetas, cercos o caminos (en predios particulares o públicos) que se propaga libre y sin control</v>
      </c>
      <c r="G83" s="70" t="str">
        <f>IF(E83="","",VLOOKUP(E83,Causas!$A$2:$D$90,3,FALSE()))</f>
        <v>4.8</v>
      </c>
      <c r="H83" s="74" t="str">
        <f>IF(E83="","",VLOOKUP(E83,Causas!$A$2:$D$90,4,FALSE()))</f>
        <v>Otras quemas</v>
      </c>
      <c r="I83" s="74" t="str">
        <f>IF(E83="","",VLOOKUP(E83,Causas!$A$2:$E$90,5,FALSE()))</f>
        <v>Negligentes</v>
      </c>
      <c r="J83" s="18">
        <v>257341</v>
      </c>
      <c r="K83" s="18">
        <v>6017841</v>
      </c>
      <c r="L83" s="18">
        <v>1.4</v>
      </c>
      <c r="M83" s="28" t="s">
        <v>427</v>
      </c>
      <c r="N83" s="19" t="s">
        <v>440</v>
      </c>
      <c r="O83" s="31" t="s">
        <v>248</v>
      </c>
      <c r="P83" s="53">
        <v>46023</v>
      </c>
      <c r="Q83" s="40">
        <f t="shared" si="1"/>
        <v>1</v>
      </c>
      <c r="R83" s="40"/>
    </row>
    <row r="84" spans="1:18" x14ac:dyDescent="0.2">
      <c r="A84" s="17">
        <v>83</v>
      </c>
      <c r="B84" s="62" t="s">
        <v>258</v>
      </c>
      <c r="C84" s="18">
        <v>313</v>
      </c>
      <c r="D84" s="62" t="s">
        <v>441</v>
      </c>
      <c r="E84" s="18" t="s">
        <v>134</v>
      </c>
      <c r="F84" s="74" t="str">
        <f>IF(E84="","",VLOOKUP(E84,Causas!$A$2:$B$90,2,FALSE))</f>
        <v>Quema no avisada de desechos agrícolas que se propaga libre y sin control</v>
      </c>
      <c r="G84" s="70" t="str">
        <f>IF(E84="","",VLOOKUP(E84,Causas!$A$2:$D$90,3,FALSE()))</f>
        <v>4.2</v>
      </c>
      <c r="H84" s="74" t="str">
        <f>IF(E84="","",VLOOKUP(E84,Causas!$A$2:$D$90,4,FALSE()))</f>
        <v>Faenas agrícolas y pecuarias</v>
      </c>
      <c r="I84" s="74" t="str">
        <f>IF(E84="","",VLOOKUP(E84,Causas!$A$2:$E$90,5,FALSE()))</f>
        <v>Negligentes</v>
      </c>
      <c r="J84" s="18">
        <v>244616</v>
      </c>
      <c r="K84" s="18">
        <v>6024451</v>
      </c>
      <c r="L84" s="18">
        <v>150</v>
      </c>
      <c r="M84" s="28" t="s">
        <v>427</v>
      </c>
      <c r="N84" s="19" t="s">
        <v>442</v>
      </c>
      <c r="O84" s="31" t="s">
        <v>248</v>
      </c>
      <c r="P84" s="53">
        <v>46024</v>
      </c>
      <c r="Q84" s="40">
        <f t="shared" si="1"/>
        <v>1</v>
      </c>
      <c r="R84" s="40"/>
    </row>
    <row r="85" spans="1:18" x14ac:dyDescent="0.2">
      <c r="A85" s="17">
        <v>84</v>
      </c>
      <c r="B85" s="62" t="s">
        <v>254</v>
      </c>
      <c r="C85" s="18">
        <v>312</v>
      </c>
      <c r="D85" s="62" t="s">
        <v>443</v>
      </c>
      <c r="E85" s="18" t="s">
        <v>167</v>
      </c>
      <c r="F85" s="74" t="str">
        <f>IF(E85="","",VLOOKUP(E85,Causas!$A$2:$B$90,2,FALSE))</f>
        <v>Generado por conexión  irregular de energía eléctrica</v>
      </c>
      <c r="G85" s="70" t="str">
        <f>IF(E85="","",VLOOKUP(E85,Causas!$A$2:$D$90,3,FALSE()))</f>
        <v>4.6</v>
      </c>
      <c r="H85" s="74" t="str">
        <f>IF(E85="","",VLOOKUP(E85,Causas!$A$2:$D$90,4,FALSE()))</f>
        <v>Parcelaciones, edificaciones residenciales, industriales u otras en zonas rurales o de interfaz</v>
      </c>
      <c r="I85" s="74" t="str">
        <f>IF(E85="","",VLOOKUP(E85,Causas!$A$2:$E$90,5,FALSE()))</f>
        <v>Negligentes</v>
      </c>
      <c r="J85" s="18">
        <v>768875</v>
      </c>
      <c r="K85" s="18">
        <v>6042872</v>
      </c>
      <c r="L85" s="18">
        <v>2.8</v>
      </c>
      <c r="M85" s="28" t="s">
        <v>427</v>
      </c>
      <c r="N85" s="19" t="s">
        <v>444</v>
      </c>
      <c r="O85" s="31" t="s">
        <v>248</v>
      </c>
      <c r="P85" s="53">
        <v>46024</v>
      </c>
      <c r="Q85" s="40">
        <f t="shared" si="1"/>
        <v>1</v>
      </c>
      <c r="R85" s="40"/>
    </row>
    <row r="86" spans="1:18" x14ac:dyDescent="0.2">
      <c r="A86" s="17">
        <v>85</v>
      </c>
      <c r="B86" s="62" t="s">
        <v>254</v>
      </c>
      <c r="C86" s="18">
        <v>128</v>
      </c>
      <c r="D86" s="62" t="s">
        <v>445</v>
      </c>
      <c r="E86" s="18" t="s">
        <v>21</v>
      </c>
      <c r="F86" s="74" t="str">
        <f>IF(E86="","",VLOOKUP(E86,Causas!$A$2:$B$90,2,FALSE))</f>
        <v>Empleo de fuentes de calor en actividades relacionadas a parcelaciones (asados, tijerales, fogatas, otros)</v>
      </c>
      <c r="G86" s="70" t="str">
        <f>IF(E86="","",VLOOKUP(E86,Causas!$A$2:$D$90,3,FALSE()))</f>
        <v>4.6</v>
      </c>
      <c r="H86" s="74" t="str">
        <f>IF(E86="","",VLOOKUP(E86,Causas!$A$2:$D$90,4,FALSE()))</f>
        <v>Parcelaciones, edificaciones residenciales, industriales u otras en zonas rurales o de interfaz</v>
      </c>
      <c r="I86" s="74" t="str">
        <f>IF(E86="","",VLOOKUP(E86,Causas!$A$2:$E$90,5,FALSE()))</f>
        <v>Negligentes</v>
      </c>
      <c r="J86" s="18">
        <v>768301</v>
      </c>
      <c r="K86" s="18">
        <v>6041518</v>
      </c>
      <c r="L86" s="18">
        <v>2</v>
      </c>
      <c r="M86" s="28" t="s">
        <v>427</v>
      </c>
      <c r="N86" s="19" t="s">
        <v>446</v>
      </c>
      <c r="O86" s="31" t="s">
        <v>248</v>
      </c>
      <c r="P86" s="53">
        <v>45986</v>
      </c>
      <c r="Q86" s="40">
        <f t="shared" si="1"/>
        <v>11</v>
      </c>
      <c r="R86" s="40"/>
    </row>
    <row r="87" spans="1:18" x14ac:dyDescent="0.2">
      <c r="A87" s="17">
        <v>86</v>
      </c>
      <c r="B87" s="62" t="s">
        <v>269</v>
      </c>
      <c r="C87" s="18">
        <v>212</v>
      </c>
      <c r="D87" s="62" t="s">
        <v>447</v>
      </c>
      <c r="E87" s="18" t="s">
        <v>148</v>
      </c>
      <c r="F87" s="74" t="str">
        <f>IF(E87="","",VLOOKUP(E87,Causas!$A$2:$B$90,2,FALSE))</f>
        <v>Otras causas negligentes no clasificadas en faenas agrícolas y pecuarias</v>
      </c>
      <c r="G87" s="70" t="str">
        <f>IF(E87="","",VLOOKUP(E87,Causas!$A$2:$D$90,3,FALSE()))</f>
        <v>4.2</v>
      </c>
      <c r="H87" s="74" t="str">
        <f>IF(E87="","",VLOOKUP(E87,Causas!$A$2:$D$90,4,FALSE()))</f>
        <v>Faenas agrícolas y pecuarias</v>
      </c>
      <c r="I87" s="74" t="str">
        <f>IF(E87="","",VLOOKUP(E87,Causas!$A$2:$E$90,5,FALSE()))</f>
        <v>Negligentes</v>
      </c>
      <c r="J87" s="18">
        <v>302808</v>
      </c>
      <c r="K87" s="18">
        <v>6138663</v>
      </c>
      <c r="L87" s="18">
        <v>8</v>
      </c>
      <c r="M87" s="28" t="s">
        <v>427</v>
      </c>
      <c r="N87" s="30" t="s">
        <v>448</v>
      </c>
      <c r="O87" s="31" t="s">
        <v>253</v>
      </c>
      <c r="P87" s="53">
        <v>46005</v>
      </c>
      <c r="Q87" s="40">
        <f t="shared" si="1"/>
        <v>12</v>
      </c>
      <c r="R87" s="40"/>
    </row>
    <row r="88" spans="1:18" x14ac:dyDescent="0.2">
      <c r="A88" s="17">
        <v>87</v>
      </c>
      <c r="B88" s="62" t="s">
        <v>269</v>
      </c>
      <c r="C88" s="18">
        <v>279</v>
      </c>
      <c r="D88" s="62" t="s">
        <v>449</v>
      </c>
      <c r="E88" s="18" t="s">
        <v>148</v>
      </c>
      <c r="F88" s="74" t="str">
        <f>IF(E88="","",VLOOKUP(E88,Causas!$A$2:$B$90,2,FALSE))</f>
        <v>Otras causas negligentes no clasificadas en faenas agrícolas y pecuarias</v>
      </c>
      <c r="G88" s="70" t="str">
        <f>IF(E88="","",VLOOKUP(E88,Causas!$A$2:$D$90,3,FALSE()))</f>
        <v>4.2</v>
      </c>
      <c r="H88" s="74" t="str">
        <f>IF(E88="","",VLOOKUP(E88,Causas!$A$2:$D$90,4,FALSE()))</f>
        <v>Faenas agrícolas y pecuarias</v>
      </c>
      <c r="I88" s="74" t="str">
        <f>IF(E88="","",VLOOKUP(E88,Causas!$A$2:$E$90,5,FALSE()))</f>
        <v>Negligentes</v>
      </c>
      <c r="J88" s="18">
        <v>303077</v>
      </c>
      <c r="K88" s="18">
        <v>6139492</v>
      </c>
      <c r="L88" s="18">
        <v>5.0999999999999996</v>
      </c>
      <c r="M88" s="28" t="s">
        <v>427</v>
      </c>
      <c r="N88" s="31" t="s">
        <v>450</v>
      </c>
      <c r="O88" s="31" t="s">
        <v>253</v>
      </c>
      <c r="P88" s="53">
        <v>46017</v>
      </c>
      <c r="Q88" s="40">
        <f t="shared" si="1"/>
        <v>12</v>
      </c>
      <c r="R88" s="40"/>
    </row>
    <row r="89" spans="1:18" x14ac:dyDescent="0.2">
      <c r="A89" s="17">
        <v>88</v>
      </c>
      <c r="B89" s="62" t="s">
        <v>269</v>
      </c>
      <c r="C89" s="18">
        <v>235</v>
      </c>
      <c r="D89" s="62" t="s">
        <v>451</v>
      </c>
      <c r="E89" s="18" t="s">
        <v>25</v>
      </c>
      <c r="F89" s="74" t="str">
        <f>IF(E89="","",VLOOKUP(E89,Causas!$A$2:$B$90,2,FALSE))</f>
        <v>Quema de basura residencial o desechos vegetales</v>
      </c>
      <c r="G89" s="70" t="str">
        <f>IF(E89="","",VLOOKUP(E89,Causas!$A$2:$D$90,3,FALSE()))</f>
        <v>4.8</v>
      </c>
      <c r="H89" s="74" t="str">
        <f>IF(E89="","",VLOOKUP(E89,Causas!$A$2:$D$90,4,FALSE()))</f>
        <v>Otras quemas</v>
      </c>
      <c r="I89" s="74" t="str">
        <f>IF(E89="","",VLOOKUP(E89,Causas!$A$2:$E$90,5,FALSE()))</f>
        <v>Negligentes</v>
      </c>
      <c r="J89" s="18">
        <v>302640</v>
      </c>
      <c r="K89" s="18">
        <v>6138852</v>
      </c>
      <c r="L89" s="18">
        <v>1</v>
      </c>
      <c r="M89" s="28" t="s">
        <v>427</v>
      </c>
      <c r="N89" s="31" t="s">
        <v>452</v>
      </c>
      <c r="O89" s="31" t="s">
        <v>253</v>
      </c>
      <c r="P89" s="53">
        <v>46009</v>
      </c>
      <c r="Q89" s="40">
        <f t="shared" si="1"/>
        <v>12</v>
      </c>
      <c r="R89" s="40"/>
    </row>
    <row r="90" spans="1:18" x14ac:dyDescent="0.2">
      <c r="A90" s="17">
        <v>89</v>
      </c>
      <c r="B90" s="62" t="s">
        <v>247</v>
      </c>
      <c r="C90" s="18">
        <v>296</v>
      </c>
      <c r="D90" s="62" t="s">
        <v>453</v>
      </c>
      <c r="E90" s="18" t="s">
        <v>75</v>
      </c>
      <c r="F90" s="74" t="str">
        <f>IF(E90="","",VLOOKUP(E90,Causas!$A$2:$B$90,2,FALSE))</f>
        <v>Generado por vehículo  (roce metálico, tubo de escape, desperfecto, otros)</v>
      </c>
      <c r="G90" s="70" t="str">
        <f>IF(E90="","",VLOOKUP(E90,Causas!$A$2:$D$90,3,FALSE()))</f>
        <v>1.7</v>
      </c>
      <c r="H90" s="74" t="str">
        <f>IF(E90="","",VLOOKUP(E90,Causas!$A$2:$D$90,4,FALSE()))</f>
        <v>Originados por desplazamiento de personas, vehículos o aeronaves</v>
      </c>
      <c r="I90" s="74" t="str">
        <f>IF(E90="","",VLOOKUP(E90,Causas!$A$2:$E$90,5,FALSE()))</f>
        <v>Accidentales</v>
      </c>
      <c r="J90" s="29">
        <v>261443</v>
      </c>
      <c r="K90" s="27">
        <v>6025312</v>
      </c>
      <c r="L90" s="18">
        <v>0.3</v>
      </c>
      <c r="M90" s="18" t="s">
        <v>427</v>
      </c>
      <c r="N90" s="31" t="s">
        <v>454</v>
      </c>
      <c r="O90" s="31" t="s">
        <v>248</v>
      </c>
      <c r="P90" s="53">
        <v>46021</v>
      </c>
      <c r="Q90" s="40">
        <f t="shared" si="1"/>
        <v>12</v>
      </c>
      <c r="R90" s="40"/>
    </row>
    <row r="91" spans="1:18" x14ac:dyDescent="0.2">
      <c r="A91" s="17">
        <v>90</v>
      </c>
      <c r="B91" s="62" t="s">
        <v>247</v>
      </c>
      <c r="C91" s="18">
        <v>329</v>
      </c>
      <c r="D91" s="62" t="s">
        <v>455</v>
      </c>
      <c r="E91" s="18" t="s">
        <v>21</v>
      </c>
      <c r="F91" s="74" t="str">
        <f>IF(E91="","",VLOOKUP(E91,Causas!$A$2:$B$90,2,FALSE))</f>
        <v>Empleo de fuentes de calor en actividades relacionadas a parcelaciones (asados, tijerales, fogatas, otros)</v>
      </c>
      <c r="G91" s="70" t="str">
        <f>IF(E91="","",VLOOKUP(E91,Causas!$A$2:$D$90,3,FALSE()))</f>
        <v>4.6</v>
      </c>
      <c r="H91" s="74" t="str">
        <f>IF(E91="","",VLOOKUP(E91,Causas!$A$2:$D$90,4,FALSE()))</f>
        <v>Parcelaciones, edificaciones residenciales, industriales u otras en zonas rurales o de interfaz</v>
      </c>
      <c r="I91" s="74" t="str">
        <f>IF(E91="","",VLOOKUP(E91,Causas!$A$2:$E$90,5,FALSE()))</f>
        <v>Negligentes</v>
      </c>
      <c r="J91" s="25">
        <v>254828</v>
      </c>
      <c r="K91" s="25">
        <v>6011863</v>
      </c>
      <c r="L91" s="20">
        <v>7.2</v>
      </c>
      <c r="M91" s="18" t="s">
        <v>427</v>
      </c>
      <c r="N91" s="31" t="s">
        <v>456</v>
      </c>
      <c r="O91" s="31" t="s">
        <v>248</v>
      </c>
      <c r="P91" s="53">
        <v>46029</v>
      </c>
      <c r="Q91" s="40">
        <f t="shared" si="1"/>
        <v>1</v>
      </c>
      <c r="R91" s="40"/>
    </row>
    <row r="92" spans="1:18" x14ac:dyDescent="0.2">
      <c r="A92" s="17">
        <v>91</v>
      </c>
      <c r="B92" s="62" t="s">
        <v>248</v>
      </c>
      <c r="C92" s="18">
        <v>294</v>
      </c>
      <c r="D92" s="62" t="s">
        <v>457</v>
      </c>
      <c r="E92" s="18" t="s">
        <v>134</v>
      </c>
      <c r="F92" s="74" t="str">
        <f>IF(E92="","",VLOOKUP(E92,Causas!$A$2:$B$90,2,FALSE))</f>
        <v>Quema no avisada de desechos agrícolas que se propaga libre y sin control</v>
      </c>
      <c r="G92" s="70" t="str">
        <f>IF(E92="","",VLOOKUP(E92,Causas!$A$2:$D$90,3,FALSE()))</f>
        <v>4.2</v>
      </c>
      <c r="H92" s="74" t="str">
        <f>IF(E92="","",VLOOKUP(E92,Causas!$A$2:$D$90,4,FALSE()))</f>
        <v>Faenas agrícolas y pecuarias</v>
      </c>
      <c r="I92" s="74" t="str">
        <f>IF(E92="","",VLOOKUP(E92,Causas!$A$2:$E$90,5,FALSE()))</f>
        <v>Negligentes</v>
      </c>
      <c r="J92" s="28">
        <v>265830</v>
      </c>
      <c r="K92" s="28">
        <v>6026965</v>
      </c>
      <c r="L92" s="18">
        <v>2</v>
      </c>
      <c r="M92" s="18" t="s">
        <v>427</v>
      </c>
      <c r="N92" s="31" t="s">
        <v>472</v>
      </c>
      <c r="O92" s="31" t="s">
        <v>248</v>
      </c>
      <c r="P92" s="53">
        <v>46020</v>
      </c>
      <c r="Q92" s="40">
        <f t="shared" si="1"/>
        <v>12</v>
      </c>
      <c r="R92" s="40"/>
    </row>
    <row r="93" spans="1:18" x14ac:dyDescent="0.2">
      <c r="A93" s="17">
        <v>92</v>
      </c>
      <c r="B93" s="62" t="s">
        <v>12</v>
      </c>
      <c r="C93" s="18">
        <v>273</v>
      </c>
      <c r="D93" s="62" t="s">
        <v>413</v>
      </c>
      <c r="E93" s="18" t="s">
        <v>233</v>
      </c>
      <c r="F93" s="74" t="str">
        <f>IF(E93="","",VLOOKUP(E93,Causas!$A$2:$B$90,2,FALSE))</f>
        <v>Se investiga pero no es posible establecer la causa</v>
      </c>
      <c r="G93" s="70" t="str">
        <f>IF(E93="","",VLOOKUP(E93,Causas!$A$2:$D$90,3,FALSE()))</f>
        <v>5.1</v>
      </c>
      <c r="H93" s="74" t="str">
        <f>IF(E93="","",VLOOKUP(E93,Causas!$A$2:$D$90,4,FALSE()))</f>
        <v>Incendios de causa indeterminada</v>
      </c>
      <c r="I93" s="74" t="str">
        <f>IF(E93="","",VLOOKUP(E93,Causas!$A$2:$E$90,5,FALSE()))</f>
        <v>Indeterminadas</v>
      </c>
      <c r="J93" s="18">
        <v>256436</v>
      </c>
      <c r="K93" s="18">
        <v>6077735</v>
      </c>
      <c r="L93" s="18">
        <v>3</v>
      </c>
      <c r="M93" s="18" t="s">
        <v>427</v>
      </c>
      <c r="N93" s="31" t="s">
        <v>473</v>
      </c>
      <c r="O93" s="31" t="s">
        <v>242</v>
      </c>
      <c r="P93" s="53">
        <v>46016</v>
      </c>
      <c r="Q93" s="40">
        <f t="shared" si="1"/>
        <v>12</v>
      </c>
      <c r="R93" s="40"/>
    </row>
    <row r="94" spans="1:18" x14ac:dyDescent="0.2">
      <c r="A94" s="17">
        <v>93</v>
      </c>
      <c r="B94" s="62" t="s">
        <v>241</v>
      </c>
      <c r="C94" s="18">
        <v>348</v>
      </c>
      <c r="D94" s="62" t="s">
        <v>458</v>
      </c>
      <c r="E94" s="18" t="s">
        <v>26</v>
      </c>
      <c r="F94" s="74"/>
      <c r="G94" s="78" t="s">
        <v>26</v>
      </c>
      <c r="H94" s="74" t="s">
        <v>68</v>
      </c>
      <c r="I94" s="74" t="s">
        <v>121</v>
      </c>
      <c r="J94" s="18">
        <v>754468</v>
      </c>
      <c r="K94" s="18">
        <v>6021760</v>
      </c>
      <c r="L94" s="18">
        <v>433</v>
      </c>
      <c r="M94" s="18" t="s">
        <v>427</v>
      </c>
      <c r="N94" s="31" t="s">
        <v>474</v>
      </c>
      <c r="O94" s="31" t="s">
        <v>241</v>
      </c>
      <c r="P94" s="53">
        <v>46033</v>
      </c>
      <c r="Q94" s="40">
        <f t="shared" si="1"/>
        <v>1</v>
      </c>
      <c r="R94" s="40"/>
    </row>
    <row r="95" spans="1:18" x14ac:dyDescent="0.2">
      <c r="A95" s="17">
        <v>94</v>
      </c>
      <c r="B95" s="62" t="s">
        <v>263</v>
      </c>
      <c r="C95" s="18">
        <v>323</v>
      </c>
      <c r="D95" s="62" t="s">
        <v>459</v>
      </c>
      <c r="E95" s="18" t="s">
        <v>21</v>
      </c>
      <c r="F95" s="74" t="str">
        <f>IF(E95="","",VLOOKUP(E95,Causas!$A$2:$B$90,2,FALSE))</f>
        <v>Empleo de fuentes de calor en actividades relacionadas a parcelaciones (asados, tijerales, fogatas, otros)</v>
      </c>
      <c r="G95" s="70" t="str">
        <f>IF(E95="","",VLOOKUP(E95,Causas!$A$2:$D$90,3,FALSE()))</f>
        <v>4.6</v>
      </c>
      <c r="H95" s="74" t="str">
        <f>IF(E95="","",VLOOKUP(E95,Causas!$A$2:$D$90,4,FALSE()))</f>
        <v>Parcelaciones, edificaciones residenciales, industriales u otras en zonas rurales o de interfaz</v>
      </c>
      <c r="I95" s="74" t="str">
        <f>IF(E95="","",VLOOKUP(E95,Causas!$A$2:$E$90,5,FALSE()))</f>
        <v>Negligentes</v>
      </c>
      <c r="J95" s="18">
        <v>271118</v>
      </c>
      <c r="K95" s="18">
        <v>6122040</v>
      </c>
      <c r="L95" s="18">
        <v>2.78</v>
      </c>
      <c r="M95" s="18" t="s">
        <v>427</v>
      </c>
      <c r="N95" s="31" t="s">
        <v>475</v>
      </c>
      <c r="O95" s="31" t="s">
        <v>253</v>
      </c>
      <c r="P95" s="53">
        <v>46028</v>
      </c>
      <c r="Q95" s="40">
        <f t="shared" si="1"/>
        <v>1</v>
      </c>
      <c r="R95" s="40"/>
    </row>
    <row r="96" spans="1:18" x14ac:dyDescent="0.2">
      <c r="A96" s="17">
        <v>95</v>
      </c>
      <c r="B96" s="62" t="s">
        <v>269</v>
      </c>
      <c r="C96" s="18">
        <v>340</v>
      </c>
      <c r="D96" s="62" t="s">
        <v>460</v>
      </c>
      <c r="E96" s="18" t="s">
        <v>47</v>
      </c>
      <c r="F96" s="74" t="str">
        <f>IF(E96="","",VLOOKUP(E96,Causas!$A$2:$B$90,2,FALSE))</f>
        <v>Partículas incandescentes  generadas por roce de maquinaria o herramienta agrícola con rocas, cercos o material metálico</v>
      </c>
      <c r="G96" s="70" t="str">
        <f>IF(E96="","",VLOOKUP(E96,Causas!$A$2:$D$90,3,FALSE()))</f>
        <v>1.2</v>
      </c>
      <c r="H96" s="74" t="str">
        <f>IF(E96="","",VLOOKUP(E96,Causas!$A$2:$D$90,4,FALSE()))</f>
        <v>Faenas agrícolas y pecuarias</v>
      </c>
      <c r="I96" s="74" t="str">
        <f>IF(E96="","",VLOOKUP(E96,Causas!$A$2:$E$90,5,FALSE()))</f>
        <v>Accidentales</v>
      </c>
      <c r="J96" s="18">
        <v>294907</v>
      </c>
      <c r="K96" s="18">
        <v>6142302</v>
      </c>
      <c r="L96" s="18">
        <v>10</v>
      </c>
      <c r="M96" s="18" t="s">
        <v>427</v>
      </c>
      <c r="N96" s="31" t="s">
        <v>476</v>
      </c>
      <c r="O96" s="31" t="s">
        <v>253</v>
      </c>
      <c r="P96" s="53">
        <v>46032</v>
      </c>
      <c r="Q96" s="40">
        <f t="shared" si="1"/>
        <v>1</v>
      </c>
      <c r="R96" s="40"/>
    </row>
    <row r="97" spans="1:18" x14ac:dyDescent="0.2">
      <c r="A97" s="17">
        <v>96</v>
      </c>
      <c r="B97" s="62" t="s">
        <v>270</v>
      </c>
      <c r="C97" s="18">
        <v>306</v>
      </c>
      <c r="D97" s="62" t="s">
        <v>461</v>
      </c>
      <c r="E97" s="18" t="s">
        <v>150</v>
      </c>
      <c r="F97" s="74" t="str">
        <f>IF(E97="","",VLOOKUP(E97,Causas!$A$2:$B$90,2,FALSE))</f>
        <v>Empleo de fuentes de calor en áreas no habilitadas, como fogatas para cocinar, cocinillas, calefacción, elementos para iluminar u otros.</v>
      </c>
      <c r="G97" s="70" t="str">
        <f>IF(E97="","",VLOOKUP(E97,Causas!$A$2:$D$90,3,FALSE()))</f>
        <v>4.3</v>
      </c>
      <c r="H97" s="74" t="str">
        <f>IF(E97="","",VLOOKUP(E97,Causas!$A$2:$D$90,4,FALSE()))</f>
        <v>Actividades al aire libre (camping, excursiones, caza, pesca, otros)</v>
      </c>
      <c r="I97" s="74" t="str">
        <f>IF(E97="","",VLOOKUP(E97,Causas!$A$2:$E$90,5,FALSE()))</f>
        <v>Negligentes</v>
      </c>
      <c r="J97" s="18">
        <v>757545</v>
      </c>
      <c r="K97" s="18">
        <v>6127645</v>
      </c>
      <c r="L97" s="18">
        <v>5.5</v>
      </c>
      <c r="M97" s="18" t="s">
        <v>427</v>
      </c>
      <c r="N97" s="31" t="s">
        <v>477</v>
      </c>
      <c r="O97" s="31" t="s">
        <v>253</v>
      </c>
      <c r="P97" s="53">
        <v>46023</v>
      </c>
      <c r="Q97" s="40">
        <f t="shared" si="1"/>
        <v>1</v>
      </c>
      <c r="R97" s="40"/>
    </row>
    <row r="98" spans="1:18" x14ac:dyDescent="0.2">
      <c r="A98" s="17">
        <v>97</v>
      </c>
      <c r="B98" s="62" t="s">
        <v>242</v>
      </c>
      <c r="C98" s="18">
        <v>371</v>
      </c>
      <c r="D98" s="62" t="s">
        <v>462</v>
      </c>
      <c r="E98" s="18" t="s">
        <v>165</v>
      </c>
      <c r="F98" s="74" t="str">
        <f>IF(E98="","",VLOOKUP(E98,Causas!$A$2:$B$90,2,FALSE))</f>
        <v>Generado por el uso de equipos o herramientas con fines de construcción, limpieza o montaje de estructuras</v>
      </c>
      <c r="G98" s="70" t="str">
        <f>IF(E98="","",VLOOKUP(E98,Causas!$A$2:$D$90,3,FALSE()))</f>
        <v>4.6</v>
      </c>
      <c r="H98" s="74" t="str">
        <f>IF(E98="","",VLOOKUP(E98,Causas!$A$2:$D$90,4,FALSE()))</f>
        <v>Parcelaciones, edificaciones residenciales, industriales u otras en zonas rurales o de interfaz</v>
      </c>
      <c r="I98" s="74" t="str">
        <f>IF(E98="","",VLOOKUP(E98,Causas!$A$2:$E$90,5,FALSE()))</f>
        <v>Negligentes</v>
      </c>
      <c r="J98" s="20">
        <v>257100</v>
      </c>
      <c r="K98" s="18">
        <v>6078290</v>
      </c>
      <c r="L98" s="18">
        <v>11</v>
      </c>
      <c r="M98" s="18" t="s">
        <v>427</v>
      </c>
      <c r="N98" s="31" t="s">
        <v>478</v>
      </c>
      <c r="O98" s="31" t="s">
        <v>242</v>
      </c>
      <c r="P98" s="53">
        <v>46036</v>
      </c>
      <c r="Q98" s="40">
        <f t="shared" si="1"/>
        <v>1</v>
      </c>
      <c r="R98" s="40"/>
    </row>
    <row r="99" spans="1:18" x14ac:dyDescent="0.2">
      <c r="A99" s="17">
        <v>98</v>
      </c>
      <c r="B99" s="62" t="s">
        <v>256</v>
      </c>
      <c r="C99" s="18">
        <v>256</v>
      </c>
      <c r="D99" s="62" t="s">
        <v>463</v>
      </c>
      <c r="E99" s="18" t="s">
        <v>223</v>
      </c>
      <c r="F99" s="74" t="str">
        <f>IF(E99="","",VLOOKUP(E99,Causas!$A$2:$B$90,2,FALSE))</f>
        <v>Otras actividades negligentes no clasificadas</v>
      </c>
      <c r="G99" s="70" t="str">
        <f>IF(E99="","",VLOOKUP(E99,Causas!$A$2:$D$90,3,FALSE()))</f>
        <v>4.10</v>
      </c>
      <c r="H99" s="74" t="str">
        <f>IF(E99="","",VLOOKUP(E99,Causas!$A$2:$D$90,4,FALSE()))</f>
        <v>Otras causas</v>
      </c>
      <c r="I99" s="74" t="str">
        <f>IF(E99="","",VLOOKUP(E99,Causas!$A$2:$E$90,5,FALSE()))</f>
        <v>Negligentes</v>
      </c>
      <c r="J99" s="18">
        <v>284975</v>
      </c>
      <c r="K99" s="18">
        <v>6096774</v>
      </c>
      <c r="L99" s="18">
        <v>0.8</v>
      </c>
      <c r="M99" s="18" t="s">
        <v>427</v>
      </c>
      <c r="N99" s="31" t="s">
        <v>479</v>
      </c>
      <c r="O99" s="31" t="s">
        <v>242</v>
      </c>
      <c r="P99" s="53">
        <v>46012</v>
      </c>
      <c r="Q99" s="40">
        <f t="shared" si="1"/>
        <v>12</v>
      </c>
      <c r="R99" s="40"/>
    </row>
    <row r="100" spans="1:18" x14ac:dyDescent="0.2">
      <c r="A100" s="17">
        <v>99</v>
      </c>
      <c r="B100" s="62" t="s">
        <v>256</v>
      </c>
      <c r="C100" s="18">
        <v>305</v>
      </c>
      <c r="D100" s="62" t="s">
        <v>464</v>
      </c>
      <c r="E100" s="18" t="s">
        <v>207</v>
      </c>
      <c r="F100" s="74" t="str">
        <f>IF(E100="","",VLOOKUP(E100,Causas!$A$2:$B$90,2,FALSE))</f>
        <v>Acciones asociadas a fumar</v>
      </c>
      <c r="G100" s="70" t="str">
        <f>IF(E100="","",VLOOKUP(E100,Causas!$A$2:$D$90,3,FALSE()))</f>
        <v>4.10</v>
      </c>
      <c r="H100" s="74" t="str">
        <f>IF(E100="","",VLOOKUP(E100,Causas!$A$2:$D$90,4,FALSE()))</f>
        <v>Otras causas</v>
      </c>
      <c r="I100" s="74" t="str">
        <f>IF(E100="","",VLOOKUP(E100,Causas!$A$2:$E$90,5,FALSE()))</f>
        <v>Negligentes</v>
      </c>
      <c r="J100" s="18">
        <v>294168</v>
      </c>
      <c r="K100" s="18">
        <v>6096026</v>
      </c>
      <c r="L100" s="18">
        <v>3</v>
      </c>
      <c r="M100" s="18" t="s">
        <v>427</v>
      </c>
      <c r="N100" s="31" t="s">
        <v>480</v>
      </c>
      <c r="O100" s="31" t="s">
        <v>242</v>
      </c>
      <c r="P100" s="53">
        <v>46023</v>
      </c>
      <c r="Q100" s="40">
        <f t="shared" si="1"/>
        <v>1</v>
      </c>
      <c r="R100" s="40"/>
    </row>
    <row r="101" spans="1:18" x14ac:dyDescent="0.2">
      <c r="A101" s="17">
        <v>100</v>
      </c>
      <c r="B101" s="62" t="s">
        <v>245</v>
      </c>
      <c r="C101" s="18">
        <v>327</v>
      </c>
      <c r="D101" s="62" t="s">
        <v>465</v>
      </c>
      <c r="E101" s="18" t="s">
        <v>165</v>
      </c>
      <c r="F101" s="74" t="str">
        <f>IF(E101="","",VLOOKUP(E101,Causas!$A$2:$B$90,2,FALSE))</f>
        <v>Generado por el uso de equipos o herramientas con fines de construcción, limpieza o montaje de estructuras</v>
      </c>
      <c r="G101" s="70" t="str">
        <f>IF(E101="","",VLOOKUP(E101,Causas!$A$2:$D$90,3,FALSE()))</f>
        <v>4.6</v>
      </c>
      <c r="H101" s="74" t="str">
        <f>IF(E101="","",VLOOKUP(E101,Causas!$A$2:$D$90,4,FALSE()))</f>
        <v>Parcelaciones, edificaciones residenciales, industriales u otras en zonas rurales o de interfaz</v>
      </c>
      <c r="I101" s="74" t="str">
        <f>IF(E101="","",VLOOKUP(E101,Causas!$A$2:$E$90,5,FALSE()))</f>
        <v>Negligentes</v>
      </c>
      <c r="J101" s="18">
        <v>250471</v>
      </c>
      <c r="K101" s="18">
        <v>6076108</v>
      </c>
      <c r="L101" s="18">
        <v>0.2</v>
      </c>
      <c r="M101" s="18" t="s">
        <v>427</v>
      </c>
      <c r="N101" s="31" t="s">
        <v>481</v>
      </c>
      <c r="O101" s="31" t="s">
        <v>242</v>
      </c>
      <c r="P101" s="53">
        <v>46029</v>
      </c>
      <c r="Q101" s="40">
        <f t="shared" si="1"/>
        <v>1</v>
      </c>
      <c r="R101" s="40"/>
    </row>
    <row r="102" spans="1:18" x14ac:dyDescent="0.2">
      <c r="A102" s="17">
        <v>101</v>
      </c>
      <c r="B102" s="62" t="s">
        <v>245</v>
      </c>
      <c r="C102" s="18">
        <v>136</v>
      </c>
      <c r="D102" s="62" t="s">
        <v>466</v>
      </c>
      <c r="E102" s="18" t="s">
        <v>196</v>
      </c>
      <c r="F102" s="74" t="str">
        <f>IF(E102="","",VLOOKUP(E102,Causas!$A$2:$B$90,2,FALSE))</f>
        <v>Sobrecalentamiento de estructuras asociados al sistema eléctrico (poste, transformador, uniones, aisladores, otros)</v>
      </c>
      <c r="G102" s="70" t="str">
        <f>IF(E102="","",VLOOKUP(E102,Causas!$A$2:$D$90,3,FALSE()))</f>
        <v>4.9</v>
      </c>
      <c r="H102" s="74" t="str">
        <f>IF(E102="","",VLOOKUP(E102,Causas!$A$2:$D$90,4,FALSE()))</f>
        <v>Líneas eléctricas</v>
      </c>
      <c r="I102" s="74" t="str">
        <f>IF(E102="","",VLOOKUP(E102,Causas!$A$2:$E$90,5,FALSE()))</f>
        <v>Negligentes</v>
      </c>
      <c r="J102" s="18">
        <v>247350</v>
      </c>
      <c r="K102" s="18">
        <v>6073530</v>
      </c>
      <c r="L102" s="18">
        <v>0.2</v>
      </c>
      <c r="M102" s="18" t="s">
        <v>427</v>
      </c>
      <c r="N102" s="31" t="s">
        <v>482</v>
      </c>
      <c r="O102" s="31" t="s">
        <v>242</v>
      </c>
      <c r="P102" s="53">
        <v>45989</v>
      </c>
      <c r="Q102" s="40">
        <f t="shared" si="1"/>
        <v>11</v>
      </c>
      <c r="R102" s="40"/>
    </row>
    <row r="103" spans="1:18" x14ac:dyDescent="0.2">
      <c r="A103" s="17">
        <v>102</v>
      </c>
      <c r="B103" s="62" t="s">
        <v>12</v>
      </c>
      <c r="C103" s="18">
        <v>401</v>
      </c>
      <c r="D103" s="62" t="s">
        <v>467</v>
      </c>
      <c r="E103" s="18" t="s">
        <v>148</v>
      </c>
      <c r="F103" s="74" t="str">
        <f>IF(E103="","",VLOOKUP(E103,Causas!$A$2:$B$90,2,FALSE))</f>
        <v>Otras causas negligentes no clasificadas en faenas agrícolas y pecuarias</v>
      </c>
      <c r="G103" s="70" t="str">
        <f>IF(E103="","",VLOOKUP(E103,Causas!$A$2:$D$90,3,FALSE()))</f>
        <v>4.2</v>
      </c>
      <c r="H103" s="74" t="str">
        <f>IF(E103="","",VLOOKUP(E103,Causas!$A$2:$D$90,4,FALSE()))</f>
        <v>Faenas agrícolas y pecuarias</v>
      </c>
      <c r="I103" s="74" t="str">
        <f>IF(E103="","",VLOOKUP(E103,Causas!$A$2:$E$90,5,FALSE()))</f>
        <v>Negligentes</v>
      </c>
      <c r="J103" s="18">
        <v>248444</v>
      </c>
      <c r="K103" s="18">
        <v>6070660</v>
      </c>
      <c r="L103" s="18">
        <v>0.5</v>
      </c>
      <c r="M103" s="18" t="s">
        <v>427</v>
      </c>
      <c r="N103" s="31" t="s">
        <v>483</v>
      </c>
      <c r="O103" s="31" t="s">
        <v>242</v>
      </c>
      <c r="P103" s="53">
        <v>46040</v>
      </c>
      <c r="Q103" s="40">
        <f t="shared" si="1"/>
        <v>1</v>
      </c>
      <c r="R103" s="40"/>
    </row>
    <row r="104" spans="1:18" x14ac:dyDescent="0.2">
      <c r="A104" s="17">
        <v>103</v>
      </c>
      <c r="B104" s="62" t="s">
        <v>249</v>
      </c>
      <c r="C104" s="18">
        <v>405</v>
      </c>
      <c r="D104" s="62" t="s">
        <v>468</v>
      </c>
      <c r="E104" s="18" t="s">
        <v>148</v>
      </c>
      <c r="F104" s="74" t="str">
        <f>IF(E104="","",VLOOKUP(E104,Causas!$A$2:$B$90,2,FALSE))</f>
        <v>Otras causas negligentes no clasificadas en faenas agrícolas y pecuarias</v>
      </c>
      <c r="G104" s="70" t="str">
        <f>IF(E104="","",VLOOKUP(E104,Causas!$A$2:$D$90,3,FALSE()))</f>
        <v>4.2</v>
      </c>
      <c r="H104" s="74" t="str">
        <f>IF(E104="","",VLOOKUP(E104,Causas!$A$2:$D$90,4,FALSE()))</f>
        <v>Faenas agrícolas y pecuarias</v>
      </c>
      <c r="I104" s="74" t="str">
        <f>IF(E104="","",VLOOKUP(E104,Causas!$A$2:$E$90,5,FALSE()))</f>
        <v>Negligentes</v>
      </c>
      <c r="J104" s="18">
        <v>273299</v>
      </c>
      <c r="K104" s="18">
        <v>6074928</v>
      </c>
      <c r="L104" s="18">
        <v>1</v>
      </c>
      <c r="M104" s="18" t="s">
        <v>427</v>
      </c>
      <c r="N104" s="31" t="s">
        <v>484</v>
      </c>
      <c r="O104" s="31" t="s">
        <v>242</v>
      </c>
      <c r="P104" s="53">
        <v>46041</v>
      </c>
      <c r="Q104" s="40">
        <f t="shared" si="1"/>
        <v>1</v>
      </c>
      <c r="R104" s="40"/>
    </row>
    <row r="105" spans="1:18" x14ac:dyDescent="0.2">
      <c r="A105" s="17">
        <v>104</v>
      </c>
      <c r="B105" s="62" t="s">
        <v>258</v>
      </c>
      <c r="C105" s="18">
        <v>409</v>
      </c>
      <c r="D105" s="62" t="s">
        <v>469</v>
      </c>
      <c r="E105" s="18" t="s">
        <v>148</v>
      </c>
      <c r="F105" s="74" t="str">
        <f>IF(E105="","",VLOOKUP(E105,Causas!$A$2:$B$90,2,FALSE))</f>
        <v>Otras causas negligentes no clasificadas en faenas agrícolas y pecuarias</v>
      </c>
      <c r="G105" s="70" t="str">
        <f>IF(E105="","",VLOOKUP(E105,Causas!$A$2:$D$90,3,FALSE()))</f>
        <v>4.2</v>
      </c>
      <c r="H105" s="74" t="str">
        <f>IF(E105="","",VLOOKUP(E105,Causas!$A$2:$D$90,4,FALSE()))</f>
        <v>Faenas agrícolas y pecuarias</v>
      </c>
      <c r="I105" s="74" t="str">
        <f>IF(E105="","",VLOOKUP(E105,Causas!$A$2:$E$90,5,FALSE()))</f>
        <v>Negligentes</v>
      </c>
      <c r="J105" s="18">
        <v>237516</v>
      </c>
      <c r="K105" s="18">
        <v>6019422</v>
      </c>
      <c r="L105" s="18">
        <v>42.7</v>
      </c>
      <c r="M105" s="18" t="s">
        <v>427</v>
      </c>
      <c r="N105" s="31" t="s">
        <v>485</v>
      </c>
      <c r="O105" s="31" t="s">
        <v>248</v>
      </c>
      <c r="P105" s="53">
        <v>46042</v>
      </c>
      <c r="Q105" s="40">
        <f t="shared" si="1"/>
        <v>1</v>
      </c>
      <c r="R105" s="40"/>
    </row>
    <row r="106" spans="1:18" x14ac:dyDescent="0.2">
      <c r="A106" s="17">
        <v>105</v>
      </c>
      <c r="B106" s="62" t="s">
        <v>251</v>
      </c>
      <c r="C106" s="18">
        <v>246</v>
      </c>
      <c r="D106" s="62" t="s">
        <v>470</v>
      </c>
      <c r="E106" s="18" t="s">
        <v>223</v>
      </c>
      <c r="F106" s="74" t="str">
        <f>IF(E106="","",VLOOKUP(E106,Causas!$A$2:$B$90,2,FALSE))</f>
        <v>Otras actividades negligentes no clasificadas</v>
      </c>
      <c r="G106" s="70" t="str">
        <f>IF(E106="","",VLOOKUP(E106,Causas!$A$2:$D$90,3,FALSE()))</f>
        <v>4.10</v>
      </c>
      <c r="H106" s="74" t="str">
        <f>IF(E106="","",VLOOKUP(E106,Causas!$A$2:$D$90,4,FALSE()))</f>
        <v>Otras causas</v>
      </c>
      <c r="I106" s="74" t="str">
        <f>IF(E106="","",VLOOKUP(E106,Causas!$A$2:$E$90,5,FALSE()))</f>
        <v>Negligentes</v>
      </c>
      <c r="J106" s="18">
        <v>260437</v>
      </c>
      <c r="K106" s="18">
        <v>6115498</v>
      </c>
      <c r="L106" s="18">
        <v>5</v>
      </c>
      <c r="M106" s="18" t="s">
        <v>427</v>
      </c>
      <c r="N106" s="31" t="s">
        <v>486</v>
      </c>
      <c r="O106" s="31" t="s">
        <v>253</v>
      </c>
      <c r="P106" s="53">
        <v>46010</v>
      </c>
      <c r="Q106" s="40">
        <f t="shared" si="1"/>
        <v>12</v>
      </c>
      <c r="R106" s="40"/>
    </row>
    <row r="107" spans="1:18" x14ac:dyDescent="0.2">
      <c r="A107" s="17">
        <v>106</v>
      </c>
      <c r="B107" s="62" t="s">
        <v>251</v>
      </c>
      <c r="C107" s="18">
        <v>234</v>
      </c>
      <c r="D107" s="62" t="s">
        <v>471</v>
      </c>
      <c r="E107" s="18" t="s">
        <v>21</v>
      </c>
      <c r="F107" s="74" t="str">
        <f>IF(E107="","",VLOOKUP(E107,Causas!$A$2:$B$90,2,FALSE))</f>
        <v>Empleo de fuentes de calor en actividades relacionadas a parcelaciones (asados, tijerales, fogatas, otros)</v>
      </c>
      <c r="G107" s="70" t="str">
        <f>IF(E107="","",VLOOKUP(E107,Causas!$A$2:$D$90,3,FALSE()))</f>
        <v>4.6</v>
      </c>
      <c r="H107" s="74" t="str">
        <f>IF(E107="","",VLOOKUP(E107,Causas!$A$2:$D$90,4,FALSE()))</f>
        <v>Parcelaciones, edificaciones residenciales, industriales u otras en zonas rurales o de interfaz</v>
      </c>
      <c r="I107" s="74" t="str">
        <f>IF(E107="","",VLOOKUP(E107,Causas!$A$2:$E$90,5,FALSE()))</f>
        <v>Negligentes</v>
      </c>
      <c r="J107" s="25">
        <v>245529</v>
      </c>
      <c r="K107" s="25">
        <v>6128417</v>
      </c>
      <c r="L107" s="18">
        <v>0.8</v>
      </c>
      <c r="M107" s="18" t="s">
        <v>427</v>
      </c>
      <c r="N107" s="31" t="s">
        <v>487</v>
      </c>
      <c r="O107" s="31" t="s">
        <v>253</v>
      </c>
      <c r="P107" s="53">
        <v>46009</v>
      </c>
      <c r="Q107" s="40">
        <f t="shared" si="1"/>
        <v>12</v>
      </c>
      <c r="R107" s="40"/>
    </row>
    <row r="108" spans="1:18" x14ac:dyDescent="0.2">
      <c r="A108" s="17">
        <v>107</v>
      </c>
      <c r="B108" s="62" t="s">
        <v>271</v>
      </c>
      <c r="C108" s="18">
        <v>422</v>
      </c>
      <c r="D108" s="62" t="s">
        <v>488</v>
      </c>
      <c r="E108" s="18" t="s">
        <v>21</v>
      </c>
      <c r="F108" s="74" t="str">
        <f>IF(E108="","",VLOOKUP(E108,Causas!$A$2:$B$90,2,FALSE))</f>
        <v>Empleo de fuentes de calor en actividades relacionadas a parcelaciones (asados, tijerales, fogatas, otros)</v>
      </c>
      <c r="G108" s="70" t="str">
        <f>IF(E108="","",VLOOKUP(E108,Causas!$A$2:$D$90,3,FALSE()))</f>
        <v>4.6</v>
      </c>
      <c r="H108" s="74" t="str">
        <f>IF(E108="","",VLOOKUP(E108,Causas!$A$2:$D$90,4,FALSE()))</f>
        <v>Parcelaciones, edificaciones residenciales, industriales u otras en zonas rurales o de interfaz</v>
      </c>
      <c r="I108" s="74" t="str">
        <f>IF(E108="","",VLOOKUP(E108,Causas!$A$2:$E$90,5,FALSE()))</f>
        <v>Negligentes</v>
      </c>
      <c r="J108" s="39">
        <v>248027</v>
      </c>
      <c r="K108" s="39">
        <v>5988820</v>
      </c>
      <c r="L108" s="18">
        <v>8.6</v>
      </c>
      <c r="M108" s="18" t="s">
        <v>427</v>
      </c>
      <c r="N108" s="31" t="s">
        <v>683</v>
      </c>
      <c r="O108" s="31" t="s">
        <v>248</v>
      </c>
      <c r="P108" s="53">
        <v>46046</v>
      </c>
      <c r="Q108" s="40">
        <f t="shared" si="1"/>
        <v>1</v>
      </c>
      <c r="R108" s="40"/>
    </row>
    <row r="109" spans="1:18" x14ac:dyDescent="0.2">
      <c r="A109" s="17">
        <v>108</v>
      </c>
      <c r="B109" s="62" t="s">
        <v>260</v>
      </c>
      <c r="C109" s="18">
        <v>330</v>
      </c>
      <c r="D109" s="62" t="s">
        <v>489</v>
      </c>
      <c r="E109" s="18" t="s">
        <v>134</v>
      </c>
      <c r="F109" s="74" t="str">
        <f>IF(E109="","",VLOOKUP(E109,Causas!$A$2:$B$90,2,FALSE))</f>
        <v>Quema no avisada de desechos agrícolas que se propaga libre y sin control</v>
      </c>
      <c r="G109" s="70" t="str">
        <f>IF(E109="","",VLOOKUP(E109,Causas!$A$2:$D$90,3,FALSE()))</f>
        <v>4.2</v>
      </c>
      <c r="H109" s="74" t="str">
        <f>IF(E109="","",VLOOKUP(E109,Causas!$A$2:$D$90,4,FALSE()))</f>
        <v>Faenas agrícolas y pecuarias</v>
      </c>
      <c r="I109" s="74" t="str">
        <f>IF(E109="","",VLOOKUP(E109,Causas!$A$2:$E$90,5,FALSE()))</f>
        <v>Negligentes</v>
      </c>
      <c r="J109" s="39">
        <v>310877</v>
      </c>
      <c r="K109" s="39">
        <v>6130957</v>
      </c>
      <c r="L109" s="18">
        <v>0.2</v>
      </c>
      <c r="M109" s="18" t="s">
        <v>427</v>
      </c>
      <c r="N109" s="31" t="s">
        <v>684</v>
      </c>
      <c r="O109" s="31" t="s">
        <v>253</v>
      </c>
      <c r="P109" s="53">
        <v>46030</v>
      </c>
      <c r="Q109" s="40">
        <f t="shared" si="1"/>
        <v>1</v>
      </c>
      <c r="R109" s="40"/>
    </row>
    <row r="110" spans="1:18" x14ac:dyDescent="0.2">
      <c r="A110" s="17">
        <v>109</v>
      </c>
      <c r="B110" s="62" t="s">
        <v>257</v>
      </c>
      <c r="C110" s="18">
        <v>457</v>
      </c>
      <c r="D110" s="62" t="s">
        <v>490</v>
      </c>
      <c r="E110" s="18" t="s">
        <v>21</v>
      </c>
      <c r="F110" s="74" t="str">
        <f>IF(E110="","",VLOOKUP(E110,Causas!$A$2:$B$90,2,FALSE))</f>
        <v>Empleo de fuentes de calor en actividades relacionadas a parcelaciones (asados, tijerales, fogatas, otros)</v>
      </c>
      <c r="G110" s="70" t="str">
        <f>IF(E110="","",VLOOKUP(E110,Causas!$A$2:$D$90,3,FALSE()))</f>
        <v>4.6</v>
      </c>
      <c r="H110" s="74" t="str">
        <f>IF(E110="","",VLOOKUP(E110,Causas!$A$2:$D$90,4,FALSE()))</f>
        <v>Parcelaciones, edificaciones residenciales, industriales u otras en zonas rurales o de interfaz</v>
      </c>
      <c r="I110" s="74" t="str">
        <f>IF(E110="","",VLOOKUP(E110,Causas!$A$2:$E$90,5,FALSE()))</f>
        <v>Negligentes</v>
      </c>
      <c r="J110" s="39">
        <v>273636</v>
      </c>
      <c r="K110" s="39">
        <v>6084426</v>
      </c>
      <c r="L110" s="18">
        <v>0.3</v>
      </c>
      <c r="M110" s="18" t="s">
        <v>679</v>
      </c>
      <c r="N110" s="31" t="s">
        <v>685</v>
      </c>
      <c r="O110" s="31" t="s">
        <v>242</v>
      </c>
      <c r="P110" s="53">
        <v>46053</v>
      </c>
      <c r="Q110" s="40">
        <f t="shared" si="1"/>
        <v>1</v>
      </c>
      <c r="R110" s="40"/>
    </row>
    <row r="111" spans="1:18" x14ac:dyDescent="0.2">
      <c r="A111" s="17">
        <v>110</v>
      </c>
      <c r="B111" s="62" t="s">
        <v>272</v>
      </c>
      <c r="C111" s="18">
        <v>452</v>
      </c>
      <c r="D111" s="62" t="s">
        <v>491</v>
      </c>
      <c r="E111" s="18" t="s">
        <v>81</v>
      </c>
      <c r="F111" s="74" t="str">
        <f>IF(E111="","",VLOOKUP(E111,Causas!$A$2:$B$90,2,FALSE))</f>
        <v>Contacto de fauna con el tendido eléctrico</v>
      </c>
      <c r="G111" s="70" t="str">
        <f>IF(E111="","",VLOOKUP(E111,Causas!$A$2:$D$90,3,FALSE()))</f>
        <v>1.9</v>
      </c>
      <c r="H111" s="74" t="str">
        <f>IF(E111="","",VLOOKUP(E111,Causas!$A$2:$D$90,4,FALSE()))</f>
        <v>Líneas eléctricas</v>
      </c>
      <c r="I111" s="74" t="str">
        <f>IF(E111="","",VLOOKUP(E111,Causas!$A$2:$E$90,5,FALSE()))</f>
        <v>Accidentales</v>
      </c>
      <c r="J111" s="18">
        <v>257508</v>
      </c>
      <c r="K111" s="18">
        <v>6043131</v>
      </c>
      <c r="L111" s="18">
        <v>5.3</v>
      </c>
      <c r="M111" s="18" t="s">
        <v>679</v>
      </c>
      <c r="N111" s="31" t="s">
        <v>686</v>
      </c>
      <c r="O111" s="31" t="s">
        <v>248</v>
      </c>
      <c r="P111" s="53">
        <v>46052</v>
      </c>
      <c r="Q111" s="40">
        <f t="shared" si="1"/>
        <v>1</v>
      </c>
      <c r="R111" s="40"/>
    </row>
    <row r="112" spans="1:18" x14ac:dyDescent="0.2">
      <c r="A112" s="17">
        <v>111</v>
      </c>
      <c r="B112" s="62" t="s">
        <v>272</v>
      </c>
      <c r="C112" s="18">
        <v>309</v>
      </c>
      <c r="D112" s="62" t="s">
        <v>492</v>
      </c>
      <c r="E112" s="18" t="s">
        <v>233</v>
      </c>
      <c r="F112" s="74" t="str">
        <f>IF(E112="","",VLOOKUP(E112,Causas!$A$2:$B$90,2,FALSE))</f>
        <v>Se investiga pero no es posible establecer la causa</v>
      </c>
      <c r="G112" s="70" t="str">
        <f>IF(E112="","",VLOOKUP(E112,Causas!$A$2:$D$90,3,FALSE()))</f>
        <v>5.1</v>
      </c>
      <c r="H112" s="74" t="str">
        <f>IF(E112="","",VLOOKUP(E112,Causas!$A$2:$D$90,4,FALSE()))</f>
        <v>Incendios de causa indeterminada</v>
      </c>
      <c r="I112" s="74" t="str">
        <f>IF(E112="","",VLOOKUP(E112,Causas!$A$2:$E$90,5,FALSE()))</f>
        <v>Indeterminadas</v>
      </c>
      <c r="J112" s="18">
        <v>258495</v>
      </c>
      <c r="K112" s="18">
        <v>6049561</v>
      </c>
      <c r="L112" s="18">
        <v>0.3</v>
      </c>
      <c r="M112" s="18" t="s">
        <v>679</v>
      </c>
      <c r="N112" s="31" t="s">
        <v>687</v>
      </c>
      <c r="O112" s="31" t="s">
        <v>248</v>
      </c>
      <c r="P112" s="53">
        <v>46023</v>
      </c>
      <c r="Q112" s="40">
        <f t="shared" si="1"/>
        <v>1</v>
      </c>
      <c r="R112" s="40"/>
    </row>
    <row r="113" spans="1:18" x14ac:dyDescent="0.2">
      <c r="A113" s="17">
        <v>112</v>
      </c>
      <c r="B113" s="62" t="s">
        <v>257</v>
      </c>
      <c r="C113" s="18">
        <v>291</v>
      </c>
      <c r="D113" s="62" t="s">
        <v>493</v>
      </c>
      <c r="E113" s="18" t="s">
        <v>207</v>
      </c>
      <c r="F113" s="74" t="str">
        <f>IF(E113="","",VLOOKUP(E113,Causas!$A$2:$B$90,2,FALSE))</f>
        <v>Acciones asociadas a fumar</v>
      </c>
      <c r="G113" s="70" t="str">
        <f>IF(E113="","",VLOOKUP(E113,Causas!$A$2:$D$90,3,FALSE()))</f>
        <v>4.10</v>
      </c>
      <c r="H113" s="74" t="str">
        <f>IF(E113="","",VLOOKUP(E113,Causas!$A$2:$D$90,4,FALSE()))</f>
        <v>Otras causas</v>
      </c>
      <c r="I113" s="74" t="str">
        <f>IF(E113="","",VLOOKUP(E113,Causas!$A$2:$E$90,5,FALSE()))</f>
        <v>Negligentes</v>
      </c>
      <c r="J113" s="18">
        <v>268605</v>
      </c>
      <c r="K113" s="18">
        <v>6097447</v>
      </c>
      <c r="L113" s="18">
        <v>0.67</v>
      </c>
      <c r="M113" s="18" t="s">
        <v>679</v>
      </c>
      <c r="N113" s="31" t="s">
        <v>688</v>
      </c>
      <c r="O113" s="31" t="s">
        <v>242</v>
      </c>
      <c r="P113" s="53">
        <v>46020</v>
      </c>
      <c r="Q113" s="40">
        <f t="shared" si="1"/>
        <v>12</v>
      </c>
      <c r="R113" s="40"/>
    </row>
    <row r="114" spans="1:18" x14ac:dyDescent="0.2">
      <c r="A114" s="17">
        <v>113</v>
      </c>
      <c r="B114" s="62" t="s">
        <v>252</v>
      </c>
      <c r="C114" s="18">
        <v>331</v>
      </c>
      <c r="D114" s="62" t="s">
        <v>494</v>
      </c>
      <c r="E114" s="18" t="s">
        <v>209</v>
      </c>
      <c r="F114" s="74" t="str">
        <f>IF(E114="","",VLOOKUP(E114,Causas!$A$2:$B$90,2,FALSE))</f>
        <v>Empleo de fuentes de calor por menores de edad</v>
      </c>
      <c r="G114" s="70" t="str">
        <f>IF(E114="","",VLOOKUP(E114,Causas!$A$2:$D$90,3,FALSE()))</f>
        <v>4.10</v>
      </c>
      <c r="H114" s="74" t="str">
        <f>IF(E114="","",VLOOKUP(E114,Causas!$A$2:$D$90,4,FALSE()))</f>
        <v>Otras causas</v>
      </c>
      <c r="I114" s="74" t="str">
        <f>IF(E114="","",VLOOKUP(E114,Causas!$A$2:$E$90,5,FALSE()))</f>
        <v>Negligentes</v>
      </c>
      <c r="J114" s="18">
        <v>255635</v>
      </c>
      <c r="K114" s="18">
        <v>6110034</v>
      </c>
      <c r="L114" s="18">
        <v>0.68</v>
      </c>
      <c r="M114" s="18" t="s">
        <v>679</v>
      </c>
      <c r="N114" s="31" t="s">
        <v>689</v>
      </c>
      <c r="O114" s="31" t="s">
        <v>253</v>
      </c>
      <c r="P114" s="53">
        <v>46031</v>
      </c>
      <c r="Q114" s="40">
        <f t="shared" si="1"/>
        <v>1</v>
      </c>
      <c r="R114" s="40"/>
    </row>
    <row r="115" spans="1:18" x14ac:dyDescent="0.2">
      <c r="A115" s="17">
        <v>114</v>
      </c>
      <c r="B115" s="62" t="s">
        <v>253</v>
      </c>
      <c r="C115" s="18">
        <v>444</v>
      </c>
      <c r="D115" s="62" t="s">
        <v>495</v>
      </c>
      <c r="E115" s="18" t="s">
        <v>25</v>
      </c>
      <c r="F115" s="74" t="str">
        <f>IF(E115="","",VLOOKUP(E115,Causas!$A$2:$B$90,2,FALSE))</f>
        <v>Quema de basura residencial o desechos vegetales</v>
      </c>
      <c r="G115" s="70" t="str">
        <f>IF(E115="","",VLOOKUP(E115,Causas!$A$2:$D$90,3,FALSE()))</f>
        <v>4.8</v>
      </c>
      <c r="H115" s="74" t="str">
        <f>IF(E115="","",VLOOKUP(E115,Causas!$A$2:$D$90,4,FALSE()))</f>
        <v>Otras quemas</v>
      </c>
      <c r="I115" s="74" t="str">
        <f>IF(E115="","",VLOOKUP(E115,Causas!$A$2:$E$90,5,FALSE()))</f>
        <v>Negligentes</v>
      </c>
      <c r="J115" s="39">
        <v>297836</v>
      </c>
      <c r="K115" s="39">
        <v>6127925</v>
      </c>
      <c r="L115" s="18">
        <v>0.2</v>
      </c>
      <c r="M115" s="18" t="s">
        <v>679</v>
      </c>
      <c r="N115" s="31" t="s">
        <v>690</v>
      </c>
      <c r="O115" s="31" t="s">
        <v>253</v>
      </c>
      <c r="P115" s="53">
        <v>46050</v>
      </c>
      <c r="Q115" s="40">
        <f t="shared" si="1"/>
        <v>1</v>
      </c>
      <c r="R115" s="40"/>
    </row>
    <row r="116" spans="1:18" x14ac:dyDescent="0.2">
      <c r="A116" s="17">
        <v>115</v>
      </c>
      <c r="B116" s="62" t="s">
        <v>253</v>
      </c>
      <c r="C116" s="18">
        <v>131</v>
      </c>
      <c r="D116" s="62" t="s">
        <v>367</v>
      </c>
      <c r="E116" s="18" t="s">
        <v>25</v>
      </c>
      <c r="F116" s="74" t="str">
        <f>IF(E116="","",VLOOKUP(E116,Causas!$A$2:$B$90,2,FALSE))</f>
        <v>Quema de basura residencial o desechos vegetales</v>
      </c>
      <c r="G116" s="70" t="str">
        <f>IF(E116="","",VLOOKUP(E116,Causas!$A$2:$D$90,3,FALSE()))</f>
        <v>4.8</v>
      </c>
      <c r="H116" s="74" t="str">
        <f>IF(E116="","",VLOOKUP(E116,Causas!$A$2:$D$90,4,FALSE()))</f>
        <v>Otras quemas</v>
      </c>
      <c r="I116" s="74" t="str">
        <f>IF(E116="","",VLOOKUP(E116,Causas!$A$2:$E$90,5,FALSE()))</f>
        <v>Negligentes</v>
      </c>
      <c r="J116" s="39">
        <v>296509</v>
      </c>
      <c r="K116" s="39">
        <v>6129027</v>
      </c>
      <c r="L116" s="18">
        <v>1</v>
      </c>
      <c r="M116" s="18" t="s">
        <v>679</v>
      </c>
      <c r="N116" s="31" t="s">
        <v>691</v>
      </c>
      <c r="O116" s="31" t="s">
        <v>253</v>
      </c>
      <c r="P116" s="53">
        <v>45988</v>
      </c>
      <c r="Q116" s="40">
        <f t="shared" si="1"/>
        <v>11</v>
      </c>
      <c r="R116" s="40"/>
    </row>
    <row r="117" spans="1:18" x14ac:dyDescent="0.2">
      <c r="A117" s="17">
        <v>116</v>
      </c>
      <c r="B117" s="62" t="s">
        <v>241</v>
      </c>
      <c r="C117" s="18">
        <v>404</v>
      </c>
      <c r="D117" s="62" t="s">
        <v>496</v>
      </c>
      <c r="E117" s="18" t="s">
        <v>101</v>
      </c>
      <c r="F117" s="74" t="str">
        <f>IF(E117="","",VLOOKUP(E117,Causas!$A$2:$B$90,2,FALSE))</f>
        <v>Obtención beneficios económicos (compra de madera, presión por trabajo, robo  maderero, otros)</v>
      </c>
      <c r="G117" s="70" t="str">
        <f>IF(E117="","",VLOOKUP(E117,Causas!$A$2:$D$90,3,FALSE()))</f>
        <v>2.1</v>
      </c>
      <c r="H117" s="74" t="str">
        <f>IF(E117="","",VLOOKUP(E117,Causas!$A$2:$D$90,4,FALSE()))</f>
        <v>Incendios intencionales</v>
      </c>
      <c r="I117" s="74" t="str">
        <f>IF(E117="","",VLOOKUP(E117,Causas!$A$2:$E$90,5,FALSE()))</f>
        <v>Intencionales</v>
      </c>
      <c r="J117" s="39">
        <v>736699</v>
      </c>
      <c r="K117" s="39">
        <v>6022762</v>
      </c>
      <c r="L117" s="18">
        <v>0.38</v>
      </c>
      <c r="M117" s="18" t="s">
        <v>679</v>
      </c>
      <c r="N117" s="31" t="s">
        <v>692</v>
      </c>
      <c r="O117" s="31" t="s">
        <v>241</v>
      </c>
      <c r="P117" s="53">
        <v>46040</v>
      </c>
      <c r="Q117" s="40">
        <f t="shared" si="1"/>
        <v>1</v>
      </c>
      <c r="R117" s="40"/>
    </row>
    <row r="118" spans="1:18" x14ac:dyDescent="0.2">
      <c r="A118" s="17">
        <v>117</v>
      </c>
      <c r="B118" s="62" t="s">
        <v>241</v>
      </c>
      <c r="C118" s="18">
        <v>414</v>
      </c>
      <c r="D118" s="62" t="s">
        <v>497</v>
      </c>
      <c r="E118" s="18" t="s">
        <v>101</v>
      </c>
      <c r="F118" s="74" t="str">
        <f>IF(E118="","",VLOOKUP(E118,Causas!$A$2:$B$90,2,FALSE))</f>
        <v>Obtención beneficios económicos (compra de madera, presión por trabajo, robo  maderero, otros)</v>
      </c>
      <c r="G118" s="70" t="str">
        <f>IF(E118="","",VLOOKUP(E118,Causas!$A$2:$D$90,3,FALSE()))</f>
        <v>2.1</v>
      </c>
      <c r="H118" s="74" t="str">
        <f>IF(E118="","",VLOOKUP(E118,Causas!$A$2:$D$90,4,FALSE()))</f>
        <v>Incendios intencionales</v>
      </c>
      <c r="I118" s="74" t="str">
        <f>IF(E118="","",VLOOKUP(E118,Causas!$A$2:$E$90,5,FALSE()))</f>
        <v>Intencionales</v>
      </c>
      <c r="J118" s="18">
        <v>736637</v>
      </c>
      <c r="K118" s="18">
        <v>6022791</v>
      </c>
      <c r="L118" s="18">
        <v>0.3</v>
      </c>
      <c r="M118" s="18" t="s">
        <v>679</v>
      </c>
      <c r="N118" s="31" t="s">
        <v>693</v>
      </c>
      <c r="O118" s="31" t="s">
        <v>241</v>
      </c>
      <c r="P118" s="53">
        <v>46043</v>
      </c>
      <c r="Q118" s="40">
        <f t="shared" si="1"/>
        <v>1</v>
      </c>
      <c r="R118" s="40"/>
    </row>
    <row r="119" spans="1:18" x14ac:dyDescent="0.2">
      <c r="A119" s="17">
        <v>118</v>
      </c>
      <c r="B119" s="62" t="s">
        <v>241</v>
      </c>
      <c r="C119" s="18">
        <v>415</v>
      </c>
      <c r="D119" s="62" t="s">
        <v>498</v>
      </c>
      <c r="E119" s="18" t="s">
        <v>101</v>
      </c>
      <c r="F119" s="74" t="str">
        <f>IF(E119="","",VLOOKUP(E119,Causas!$A$2:$B$90,2,FALSE))</f>
        <v>Obtención beneficios económicos (compra de madera, presión por trabajo, robo  maderero, otros)</v>
      </c>
      <c r="G119" s="70" t="str">
        <f>IF(E119="","",VLOOKUP(E119,Causas!$A$2:$D$90,3,FALSE()))</f>
        <v>2.1</v>
      </c>
      <c r="H119" s="74" t="str">
        <f>IF(E119="","",VLOOKUP(E119,Causas!$A$2:$D$90,4,FALSE()))</f>
        <v>Incendios intencionales</v>
      </c>
      <c r="I119" s="74" t="str">
        <f>IF(E119="","",VLOOKUP(E119,Causas!$A$2:$E$90,5,FALSE()))</f>
        <v>Intencionales</v>
      </c>
      <c r="J119" s="39">
        <v>736693</v>
      </c>
      <c r="K119" s="39">
        <v>6022763</v>
      </c>
      <c r="L119" s="18">
        <v>0.14000000000000001</v>
      </c>
      <c r="M119" s="18" t="s">
        <v>679</v>
      </c>
      <c r="N119" s="31" t="s">
        <v>694</v>
      </c>
      <c r="O119" s="31" t="s">
        <v>241</v>
      </c>
      <c r="P119" s="53">
        <v>46044</v>
      </c>
      <c r="Q119" s="40">
        <f t="shared" si="1"/>
        <v>1</v>
      </c>
      <c r="R119" s="40"/>
    </row>
    <row r="120" spans="1:18" x14ac:dyDescent="0.2">
      <c r="A120" s="17">
        <v>119</v>
      </c>
      <c r="B120" s="62" t="s">
        <v>241</v>
      </c>
      <c r="C120" s="18">
        <v>417</v>
      </c>
      <c r="D120" s="62" t="s">
        <v>499</v>
      </c>
      <c r="E120" s="18" t="s">
        <v>101</v>
      </c>
      <c r="F120" s="74" t="str">
        <f>IF(E120="","",VLOOKUP(E120,Causas!$A$2:$B$90,2,FALSE))</f>
        <v>Obtención beneficios económicos (compra de madera, presión por trabajo, robo  maderero, otros)</v>
      </c>
      <c r="G120" s="70" t="str">
        <f>IF(E120="","",VLOOKUP(E120,Causas!$A$2:$D$90,3,FALSE()))</f>
        <v>2.1</v>
      </c>
      <c r="H120" s="74" t="str">
        <f>IF(E120="","",VLOOKUP(E120,Causas!$A$2:$D$90,4,FALSE()))</f>
        <v>Incendios intencionales</v>
      </c>
      <c r="I120" s="74" t="str">
        <f>IF(E120="","",VLOOKUP(E120,Causas!$A$2:$E$90,5,FALSE()))</f>
        <v>Intencionales</v>
      </c>
      <c r="J120" s="39">
        <v>736478</v>
      </c>
      <c r="K120" s="39">
        <v>6022726</v>
      </c>
      <c r="L120" s="18">
        <v>0.11</v>
      </c>
      <c r="M120" s="18" t="s">
        <v>679</v>
      </c>
      <c r="N120" s="31" t="s">
        <v>695</v>
      </c>
      <c r="O120" s="31" t="s">
        <v>241</v>
      </c>
      <c r="P120" s="53">
        <v>46044</v>
      </c>
      <c r="Q120" s="40">
        <f t="shared" si="1"/>
        <v>1</v>
      </c>
      <c r="R120" s="40"/>
    </row>
    <row r="121" spans="1:18" x14ac:dyDescent="0.2">
      <c r="A121" s="17">
        <v>120</v>
      </c>
      <c r="B121" s="62" t="s">
        <v>12</v>
      </c>
      <c r="C121" s="18">
        <v>471</v>
      </c>
      <c r="D121" s="62" t="s">
        <v>500</v>
      </c>
      <c r="E121" s="18" t="s">
        <v>165</v>
      </c>
      <c r="F121" s="74" t="str">
        <f>IF(E121="","",VLOOKUP(E121,Causas!$A$2:$B$90,2,FALSE))</f>
        <v>Generado por el uso de equipos o herramientas con fines de construcción, limpieza o montaje de estructuras</v>
      </c>
      <c r="G121" s="70" t="str">
        <f>IF(E121="","",VLOOKUP(E121,Causas!$A$2:$D$90,3,FALSE()))</f>
        <v>4.6</v>
      </c>
      <c r="H121" s="74" t="str">
        <f>IF(E121="","",VLOOKUP(E121,Causas!$A$2:$D$90,4,FALSE()))</f>
        <v>Parcelaciones, edificaciones residenciales, industriales u otras en zonas rurales o de interfaz</v>
      </c>
      <c r="I121" s="74" t="str">
        <f>IF(E121="","",VLOOKUP(E121,Causas!$A$2:$E$90,5,FALSE()))</f>
        <v>Negligentes</v>
      </c>
      <c r="J121" s="18">
        <v>242879</v>
      </c>
      <c r="K121" s="18">
        <v>6071369</v>
      </c>
      <c r="L121" s="18">
        <v>0.3</v>
      </c>
      <c r="M121" s="18" t="s">
        <v>679</v>
      </c>
      <c r="N121" s="31" t="s">
        <v>696</v>
      </c>
      <c r="O121" s="31" t="s">
        <v>242</v>
      </c>
      <c r="P121" s="53">
        <v>46058</v>
      </c>
      <c r="Q121" s="40">
        <f t="shared" si="1"/>
        <v>2</v>
      </c>
      <c r="R121" s="40"/>
    </row>
    <row r="122" spans="1:18" x14ac:dyDescent="0.2">
      <c r="A122" s="17">
        <v>121</v>
      </c>
      <c r="B122" s="62" t="s">
        <v>254</v>
      </c>
      <c r="C122" s="18">
        <v>465</v>
      </c>
      <c r="D122" s="62" t="s">
        <v>501</v>
      </c>
      <c r="E122" s="18" t="s">
        <v>167</v>
      </c>
      <c r="F122" s="74" t="str">
        <f>IF(E122="","",VLOOKUP(E122,Causas!$A$2:$B$90,2,FALSE))</f>
        <v>Generado por conexión  irregular de energía eléctrica</v>
      </c>
      <c r="G122" s="70" t="str">
        <f>IF(E122="","",VLOOKUP(E122,Causas!$A$2:$D$90,3,FALSE()))</f>
        <v>4.6</v>
      </c>
      <c r="H122" s="74" t="str">
        <f>IF(E122="","",VLOOKUP(E122,Causas!$A$2:$D$90,4,FALSE()))</f>
        <v>Parcelaciones, edificaciones residenciales, industriales u otras en zonas rurales o de interfaz</v>
      </c>
      <c r="I122" s="74" t="str">
        <f>IF(E122="","",VLOOKUP(E122,Causas!$A$2:$E$90,5,FALSE()))</f>
        <v>Negligentes</v>
      </c>
      <c r="J122" s="18">
        <v>768514</v>
      </c>
      <c r="K122" s="18">
        <v>6057911</v>
      </c>
      <c r="L122" s="18">
        <v>0.3</v>
      </c>
      <c r="M122" s="18" t="s">
        <v>679</v>
      </c>
      <c r="N122" s="31" t="s">
        <v>697</v>
      </c>
      <c r="O122" s="31" t="s">
        <v>248</v>
      </c>
      <c r="P122" s="53">
        <v>46055</v>
      </c>
      <c r="Q122" s="40">
        <f t="shared" si="1"/>
        <v>2</v>
      </c>
      <c r="R122" s="40"/>
    </row>
    <row r="123" spans="1:18" x14ac:dyDescent="0.2">
      <c r="A123" s="17">
        <v>122</v>
      </c>
      <c r="B123" s="62" t="s">
        <v>12</v>
      </c>
      <c r="C123" s="18">
        <v>485</v>
      </c>
      <c r="D123" s="62" t="s">
        <v>502</v>
      </c>
      <c r="E123" s="18" t="s">
        <v>223</v>
      </c>
      <c r="F123" s="74" t="str">
        <f>IF(E123="","",VLOOKUP(E123,Causas!$A$2:$B$90,2,FALSE))</f>
        <v>Otras actividades negligentes no clasificadas</v>
      </c>
      <c r="G123" s="70" t="str">
        <f>IF(E123="","",VLOOKUP(E123,Causas!$A$2:$D$90,3,FALSE()))</f>
        <v>4.10</v>
      </c>
      <c r="H123" s="74" t="str">
        <f>IF(E123="","",VLOOKUP(E123,Causas!$A$2:$D$90,4,FALSE()))</f>
        <v>Otras causas</v>
      </c>
      <c r="I123" s="74" t="str">
        <f>IF(E123="","",VLOOKUP(E123,Causas!$A$2:$E$90,5,FALSE()))</f>
        <v>Negligentes</v>
      </c>
      <c r="J123" s="18">
        <v>253773</v>
      </c>
      <c r="K123" s="18">
        <v>6068057</v>
      </c>
      <c r="L123" s="18">
        <v>33.299999999999997</v>
      </c>
      <c r="M123" s="18" t="s">
        <v>679</v>
      </c>
      <c r="N123" s="31" t="s">
        <v>698</v>
      </c>
      <c r="O123" s="31" t="s">
        <v>242</v>
      </c>
      <c r="P123" s="53">
        <v>46061</v>
      </c>
      <c r="Q123" s="40">
        <f t="shared" si="1"/>
        <v>2</v>
      </c>
      <c r="R123" s="40"/>
    </row>
    <row r="124" spans="1:18" x14ac:dyDescent="0.2">
      <c r="A124" s="17">
        <v>123</v>
      </c>
      <c r="B124" s="62" t="s">
        <v>12</v>
      </c>
      <c r="C124" s="18">
        <v>470</v>
      </c>
      <c r="D124" s="62" t="s">
        <v>503</v>
      </c>
      <c r="E124" s="18" t="s">
        <v>21</v>
      </c>
      <c r="F124" s="74" t="str">
        <f>IF(E124="","",VLOOKUP(E124,Causas!$A$2:$B$90,2,FALSE))</f>
        <v>Empleo de fuentes de calor en actividades relacionadas a parcelaciones (asados, tijerales, fogatas, otros)</v>
      </c>
      <c r="G124" s="70" t="str">
        <f>IF(E124="","",VLOOKUP(E124,Causas!$A$2:$D$90,3,FALSE()))</f>
        <v>4.6</v>
      </c>
      <c r="H124" s="74" t="str">
        <f>IF(E124="","",VLOOKUP(E124,Causas!$A$2:$D$90,4,FALSE()))</f>
        <v>Parcelaciones, edificaciones residenciales, industriales u otras en zonas rurales o de interfaz</v>
      </c>
      <c r="I124" s="74" t="str">
        <f>IF(E124="","",VLOOKUP(E124,Causas!$A$2:$E$90,5,FALSE()))</f>
        <v>Negligentes</v>
      </c>
      <c r="J124" s="18">
        <v>256952</v>
      </c>
      <c r="K124" s="18">
        <v>6066306</v>
      </c>
      <c r="L124" s="18">
        <v>0.4</v>
      </c>
      <c r="M124" s="18" t="s">
        <v>679</v>
      </c>
      <c r="N124" s="31" t="s">
        <v>699</v>
      </c>
      <c r="O124" s="31" t="s">
        <v>242</v>
      </c>
      <c r="P124" s="53">
        <v>46058</v>
      </c>
      <c r="Q124" s="40">
        <f t="shared" si="1"/>
        <v>2</v>
      </c>
      <c r="R124" s="40"/>
    </row>
    <row r="125" spans="1:18" x14ac:dyDescent="0.2">
      <c r="A125" s="17">
        <v>124</v>
      </c>
      <c r="B125" s="62" t="s">
        <v>257</v>
      </c>
      <c r="C125" s="18">
        <v>467</v>
      </c>
      <c r="D125" s="62" t="s">
        <v>504</v>
      </c>
      <c r="E125" s="18" t="s">
        <v>207</v>
      </c>
      <c r="F125" s="74" t="str">
        <f>IF(E125="","",VLOOKUP(E125,Causas!$A$2:$B$90,2,FALSE))</f>
        <v>Acciones asociadas a fumar</v>
      </c>
      <c r="G125" s="70" t="str">
        <f>IF(E125="","",VLOOKUP(E125,Causas!$A$2:$D$90,3,FALSE()))</f>
        <v>4.10</v>
      </c>
      <c r="H125" s="74" t="str">
        <f>IF(E125="","",VLOOKUP(E125,Causas!$A$2:$D$90,4,FALSE()))</f>
        <v>Otras causas</v>
      </c>
      <c r="I125" s="74" t="str">
        <f>IF(E125="","",VLOOKUP(E125,Causas!$A$2:$E$90,5,FALSE()))</f>
        <v>Negligentes</v>
      </c>
      <c r="J125" s="18">
        <v>277791</v>
      </c>
      <c r="K125" s="18">
        <v>6098585</v>
      </c>
      <c r="L125" s="18">
        <v>0.3</v>
      </c>
      <c r="M125" s="18" t="s">
        <v>679</v>
      </c>
      <c r="N125" s="31" t="s">
        <v>700</v>
      </c>
      <c r="O125" s="31" t="s">
        <v>242</v>
      </c>
      <c r="P125" s="53">
        <v>46055</v>
      </c>
      <c r="Q125" s="40">
        <f t="shared" si="1"/>
        <v>2</v>
      </c>
      <c r="R125" s="40"/>
    </row>
    <row r="126" spans="1:18" x14ac:dyDescent="0.2">
      <c r="A126" s="17">
        <v>125</v>
      </c>
      <c r="B126" s="62" t="s">
        <v>256</v>
      </c>
      <c r="C126" s="18">
        <v>254</v>
      </c>
      <c r="D126" s="62" t="s">
        <v>505</v>
      </c>
      <c r="E126" s="18" t="s">
        <v>25</v>
      </c>
      <c r="F126" s="74" t="str">
        <f>IF(E126="","",VLOOKUP(E126,Causas!$A$2:$B$90,2,FALSE))</f>
        <v>Quema de basura residencial o desechos vegetales</v>
      </c>
      <c r="G126" s="70" t="str">
        <f>IF(E126="","",VLOOKUP(E126,Causas!$A$2:$D$90,3,FALSE()))</f>
        <v>4.8</v>
      </c>
      <c r="H126" s="74" t="str">
        <f>IF(E126="","",VLOOKUP(E126,Causas!$A$2:$D$90,4,FALSE()))</f>
        <v>Otras quemas</v>
      </c>
      <c r="I126" s="74" t="str">
        <f>IF(E126="","",VLOOKUP(E126,Causas!$A$2:$E$90,5,FALSE()))</f>
        <v>Negligentes</v>
      </c>
      <c r="J126" s="18">
        <v>278670</v>
      </c>
      <c r="K126" s="18">
        <v>6099394</v>
      </c>
      <c r="L126" s="18">
        <v>1</v>
      </c>
      <c r="M126" s="18" t="s">
        <v>679</v>
      </c>
      <c r="N126" s="31" t="s">
        <v>701</v>
      </c>
      <c r="O126" s="31" t="s">
        <v>242</v>
      </c>
      <c r="P126" s="53">
        <v>46012</v>
      </c>
      <c r="Q126" s="40">
        <f t="shared" si="1"/>
        <v>12</v>
      </c>
      <c r="R126" s="40"/>
    </row>
    <row r="127" spans="1:18" x14ac:dyDescent="0.2">
      <c r="A127" s="17">
        <v>126</v>
      </c>
      <c r="B127" s="62" t="s">
        <v>257</v>
      </c>
      <c r="C127" s="18">
        <v>498</v>
      </c>
      <c r="D127" s="62" t="s">
        <v>506</v>
      </c>
      <c r="E127" s="18" t="s">
        <v>69</v>
      </c>
      <c r="F127" s="74" t="str">
        <f>IF(E127="","",VLOOKUP(E127,Causas!$A$2:$B$90,2,FALSE))</f>
        <v>Accidente o incendio de vehículo</v>
      </c>
      <c r="G127" s="70" t="str">
        <f>IF(E127="","",VLOOKUP(E127,Causas!$A$2:$D$90,3,FALSE()))</f>
        <v>1.7</v>
      </c>
      <c r="H127" s="74" t="str">
        <f>IF(E127="","",VLOOKUP(E127,Causas!$A$2:$D$90,4,FALSE()))</f>
        <v>Originados por desplazamiento de personas, vehículos o aeronaves</v>
      </c>
      <c r="I127" s="74" t="str">
        <f>IF(E127="","",VLOOKUP(E127,Causas!$A$2:$E$90,5,FALSE()))</f>
        <v>Accidentales</v>
      </c>
      <c r="J127" s="18">
        <v>275107</v>
      </c>
      <c r="K127" s="18">
        <v>6096244</v>
      </c>
      <c r="L127" s="18">
        <v>8</v>
      </c>
      <c r="M127" s="18" t="s">
        <v>679</v>
      </c>
      <c r="N127" s="31" t="s">
        <v>702</v>
      </c>
      <c r="O127" s="31" t="s">
        <v>242</v>
      </c>
      <c r="P127" s="53">
        <v>46063</v>
      </c>
      <c r="Q127" s="40">
        <f t="shared" si="1"/>
        <v>2</v>
      </c>
      <c r="R127" s="40"/>
    </row>
    <row r="128" spans="1:18" x14ac:dyDescent="0.2">
      <c r="A128" s="17">
        <v>127</v>
      </c>
      <c r="B128" s="62" t="s">
        <v>252</v>
      </c>
      <c r="C128" s="18">
        <v>425</v>
      </c>
      <c r="D128" s="62" t="s">
        <v>507</v>
      </c>
      <c r="E128" s="18" t="s">
        <v>198</v>
      </c>
      <c r="F128" s="74" t="str">
        <f>IF(E128="","",VLOOKUP(E128,Causas!$A$2:$B$90,2,FALSE))</f>
        <v>Otras causas eléctricas negligentes no  clasificadas</v>
      </c>
      <c r="G128" s="70" t="str">
        <f>IF(E128="","",VLOOKUP(E128,Causas!$A$2:$D$90,3,FALSE()))</f>
        <v>4.9</v>
      </c>
      <c r="H128" s="74" t="str">
        <f>IF(E128="","",VLOOKUP(E128,Causas!$A$2:$D$90,4,FALSE()))</f>
        <v>Líneas eléctricas</v>
      </c>
      <c r="I128" s="74" t="str">
        <f>IF(E128="","",VLOOKUP(E128,Causas!$A$2:$E$90,5,FALSE()))</f>
        <v>Negligentes</v>
      </c>
      <c r="J128" s="18">
        <v>274771</v>
      </c>
      <c r="K128" s="18">
        <v>6114942</v>
      </c>
      <c r="L128" s="18">
        <v>2.5</v>
      </c>
      <c r="M128" s="18" t="s">
        <v>679</v>
      </c>
      <c r="N128" s="31" t="s">
        <v>703</v>
      </c>
      <c r="O128" s="31" t="s">
        <v>253</v>
      </c>
      <c r="P128" s="53">
        <v>46046</v>
      </c>
      <c r="Q128" s="40">
        <f t="shared" si="1"/>
        <v>1</v>
      </c>
      <c r="R128" s="40"/>
    </row>
    <row r="129" spans="1:18" x14ac:dyDescent="0.2">
      <c r="A129" s="17">
        <v>128</v>
      </c>
      <c r="B129" s="62" t="s">
        <v>252</v>
      </c>
      <c r="C129" s="18">
        <v>334</v>
      </c>
      <c r="D129" s="62" t="s">
        <v>508</v>
      </c>
      <c r="E129" s="18" t="s">
        <v>134</v>
      </c>
      <c r="F129" s="74" t="str">
        <f>IF(E129="","",VLOOKUP(E129,Causas!$A$2:$B$90,2,FALSE))</f>
        <v>Quema no avisada de desechos agrícolas que se propaga libre y sin control</v>
      </c>
      <c r="G129" s="70" t="str">
        <f>IF(E129="","",VLOOKUP(E129,Causas!$A$2:$D$90,3,FALSE()))</f>
        <v>4.2</v>
      </c>
      <c r="H129" s="74" t="str">
        <f>IF(E129="","",VLOOKUP(E129,Causas!$A$2:$D$90,4,FALSE()))</f>
        <v>Faenas agrícolas y pecuarias</v>
      </c>
      <c r="I129" s="74" t="str">
        <f>IF(E129="","",VLOOKUP(E129,Causas!$A$2:$E$90,5,FALSE()))</f>
        <v>Negligentes</v>
      </c>
      <c r="J129" s="18">
        <v>274940</v>
      </c>
      <c r="K129" s="18">
        <v>6120363</v>
      </c>
      <c r="L129" s="18">
        <v>4.2699999999999996</v>
      </c>
      <c r="M129" s="18" t="s">
        <v>679</v>
      </c>
      <c r="N129" s="31" t="s">
        <v>704</v>
      </c>
      <c r="O129" s="31" t="s">
        <v>253</v>
      </c>
      <c r="P129" s="53">
        <v>46031</v>
      </c>
      <c r="Q129" s="40">
        <f t="shared" si="1"/>
        <v>1</v>
      </c>
      <c r="R129" s="40"/>
    </row>
    <row r="130" spans="1:18" x14ac:dyDescent="0.2">
      <c r="A130" s="17">
        <v>129</v>
      </c>
      <c r="B130" s="62" t="s">
        <v>247</v>
      </c>
      <c r="C130" s="18">
        <v>387</v>
      </c>
      <c r="D130" s="62" t="s">
        <v>509</v>
      </c>
      <c r="E130" s="18" t="s">
        <v>196</v>
      </c>
      <c r="F130" s="74" t="str">
        <f>IF(E130="","",VLOOKUP(E130,Causas!$A$2:$B$90,2,FALSE))</f>
        <v>Sobrecalentamiento de estructuras asociados al sistema eléctrico (poste, transformador, uniones, aisladores, otros)</v>
      </c>
      <c r="G130" s="70" t="str">
        <f>IF(E130="","",VLOOKUP(E130,Causas!$A$2:$D$90,3,FALSE()))</f>
        <v>4.9</v>
      </c>
      <c r="H130" s="74" t="str">
        <f>IF(E130="","",VLOOKUP(E130,Causas!$A$2:$D$90,4,FALSE()))</f>
        <v>Líneas eléctricas</v>
      </c>
      <c r="I130" s="74" t="str">
        <f>IF(E130="","",VLOOKUP(E130,Causas!$A$2:$E$90,5,FALSE()))</f>
        <v>Negligentes</v>
      </c>
      <c r="J130" s="18">
        <v>260414</v>
      </c>
      <c r="K130" s="18">
        <v>6019453</v>
      </c>
      <c r="L130" s="18">
        <v>1.1000000000000001</v>
      </c>
      <c r="M130" s="18" t="s">
        <v>679</v>
      </c>
      <c r="N130" s="31" t="s">
        <v>705</v>
      </c>
      <c r="O130" s="31" t="s">
        <v>248</v>
      </c>
      <c r="P130" s="53">
        <v>46038</v>
      </c>
      <c r="Q130" s="40">
        <f t="shared" si="1"/>
        <v>1</v>
      </c>
      <c r="R130" s="40"/>
    </row>
    <row r="131" spans="1:18" x14ac:dyDescent="0.2">
      <c r="A131" s="17">
        <v>130</v>
      </c>
      <c r="B131" s="62" t="s">
        <v>247</v>
      </c>
      <c r="C131" s="18">
        <v>508</v>
      </c>
      <c r="D131" s="62" t="s">
        <v>510</v>
      </c>
      <c r="E131" s="18" t="s">
        <v>148</v>
      </c>
      <c r="F131" s="74" t="str">
        <f>IF(E131="","",VLOOKUP(E131,Causas!$A$2:$B$90,2,FALSE))</f>
        <v>Otras causas negligentes no clasificadas en faenas agrícolas y pecuarias</v>
      </c>
      <c r="G131" s="70" t="str">
        <f>IF(E131="","",VLOOKUP(E131,Causas!$A$2:$D$90,3,FALSE()))</f>
        <v>4.2</v>
      </c>
      <c r="H131" s="74" t="str">
        <f>IF(E131="","",VLOOKUP(E131,Causas!$A$2:$D$90,4,FALSE()))</f>
        <v>Faenas agrícolas y pecuarias</v>
      </c>
      <c r="I131" s="74" t="str">
        <f>IF(E131="","",VLOOKUP(E131,Causas!$A$2:$E$90,5,FALSE()))</f>
        <v>Negligentes</v>
      </c>
      <c r="J131" s="18">
        <v>266803</v>
      </c>
      <c r="K131" s="18">
        <v>6005122</v>
      </c>
      <c r="L131" s="18">
        <v>0.2</v>
      </c>
      <c r="M131" s="18" t="s">
        <v>679</v>
      </c>
      <c r="N131" s="31" t="s">
        <v>706</v>
      </c>
      <c r="O131" s="31" t="s">
        <v>248</v>
      </c>
      <c r="P131" s="53">
        <v>46065</v>
      </c>
      <c r="Q131" s="40">
        <f t="shared" ref="Q131:Q194" si="2">MONTH(P131)</f>
        <v>2</v>
      </c>
      <c r="R131" s="40"/>
    </row>
    <row r="132" spans="1:18" x14ac:dyDescent="0.2">
      <c r="A132" s="17">
        <v>131</v>
      </c>
      <c r="B132" s="62" t="s">
        <v>264</v>
      </c>
      <c r="C132" s="18">
        <v>521</v>
      </c>
      <c r="D132" s="62" t="s">
        <v>511</v>
      </c>
      <c r="E132" s="18" t="s">
        <v>93</v>
      </c>
      <c r="F132" s="74" t="str">
        <f>IF(E132="","",VLOOKUP(E132,Causas!$A$2:$B$90,2,FALSE))</f>
        <v>Provocado, no se identifica la motivación</v>
      </c>
      <c r="G132" s="70" t="str">
        <f>IF(E132="","",VLOOKUP(E132,Causas!$A$2:$D$90,3,FALSE()))</f>
        <v>2.1</v>
      </c>
      <c r="H132" s="74" t="str">
        <f>IF(E132="","",VLOOKUP(E132,Causas!$A$2:$D$90,4,FALSE()))</f>
        <v>Incendios intencionales</v>
      </c>
      <c r="I132" s="74" t="str">
        <f>IF(E132="","",VLOOKUP(E132,Causas!$A$2:$E$90,5,FALSE()))</f>
        <v>Intencionales</v>
      </c>
      <c r="J132" s="18">
        <v>765531</v>
      </c>
      <c r="K132" s="18">
        <v>6143818</v>
      </c>
      <c r="L132" s="18">
        <v>450</v>
      </c>
      <c r="M132" s="18" t="s">
        <v>679</v>
      </c>
      <c r="N132" s="31" t="s">
        <v>707</v>
      </c>
      <c r="O132" s="31" t="s">
        <v>253</v>
      </c>
      <c r="P132" s="53">
        <v>46067</v>
      </c>
      <c r="Q132" s="40">
        <f t="shared" si="2"/>
        <v>2</v>
      </c>
      <c r="R132" s="40"/>
    </row>
    <row r="133" spans="1:18" x14ac:dyDescent="0.2">
      <c r="A133" s="17">
        <v>132</v>
      </c>
      <c r="B133" s="62" t="s">
        <v>241</v>
      </c>
      <c r="C133" s="18">
        <v>518</v>
      </c>
      <c r="D133" s="62" t="s">
        <v>512</v>
      </c>
      <c r="E133" s="18" t="s">
        <v>165</v>
      </c>
      <c r="F133" s="74" t="str">
        <f>IF(E133="","",VLOOKUP(E133,Causas!$A$2:$B$90,2,FALSE))</f>
        <v>Generado por el uso de equipos o herramientas con fines de construcción, limpieza o montaje de estructuras</v>
      </c>
      <c r="G133" s="70" t="str">
        <f>IF(E133="","",VLOOKUP(E133,Causas!$A$2:$D$90,3,FALSE()))</f>
        <v>4.6</v>
      </c>
      <c r="H133" s="74" t="str">
        <f>IF(E133="","",VLOOKUP(E133,Causas!$A$2:$D$90,4,FALSE()))</f>
        <v>Parcelaciones, edificaciones residenciales, industriales u otras en zonas rurales o de interfaz</v>
      </c>
      <c r="I133" s="74" t="str">
        <f>IF(E133="","",VLOOKUP(E133,Causas!$A$2:$E$90,5,FALSE()))</f>
        <v>Negligentes</v>
      </c>
      <c r="J133" s="18">
        <v>761189</v>
      </c>
      <c r="K133" s="18">
        <v>6016365</v>
      </c>
      <c r="L133" s="18">
        <v>64</v>
      </c>
      <c r="M133" s="18" t="s">
        <v>679</v>
      </c>
      <c r="N133" s="31" t="s">
        <v>708</v>
      </c>
      <c r="O133" s="31" t="s">
        <v>241</v>
      </c>
      <c r="P133" s="53">
        <v>46066</v>
      </c>
      <c r="Q133" s="40">
        <f t="shared" si="2"/>
        <v>2</v>
      </c>
      <c r="R133" s="40"/>
    </row>
    <row r="134" spans="1:18" x14ac:dyDescent="0.2">
      <c r="A134" s="17">
        <v>133</v>
      </c>
      <c r="B134" s="62" t="s">
        <v>269</v>
      </c>
      <c r="C134" s="18">
        <v>529</v>
      </c>
      <c r="D134" s="62" t="s">
        <v>513</v>
      </c>
      <c r="E134" s="18" t="s">
        <v>21</v>
      </c>
      <c r="F134" s="74" t="str">
        <f>IF(E134="","",VLOOKUP(E134,Causas!$A$2:$B$90,2,FALSE))</f>
        <v>Empleo de fuentes de calor en actividades relacionadas a parcelaciones (asados, tijerales, fogatas, otros)</v>
      </c>
      <c r="G134" s="70" t="str">
        <f>IF(E134="","",VLOOKUP(E134,Causas!$A$2:$D$90,3,FALSE()))</f>
        <v>4.6</v>
      </c>
      <c r="H134" s="74" t="str">
        <f>IF(E134="","",VLOOKUP(E134,Causas!$A$2:$D$90,4,FALSE()))</f>
        <v>Parcelaciones, edificaciones residenciales, industriales u otras en zonas rurales o de interfaz</v>
      </c>
      <c r="I134" s="74" t="str">
        <f>IF(E134="","",VLOOKUP(E134,Causas!$A$2:$E$90,5,FALSE()))</f>
        <v>Negligentes</v>
      </c>
      <c r="J134" s="18">
        <v>300802</v>
      </c>
      <c r="K134" s="18">
        <v>6143348</v>
      </c>
      <c r="L134" s="18">
        <v>70</v>
      </c>
      <c r="M134" s="18" t="s">
        <v>679</v>
      </c>
      <c r="N134" s="31" t="s">
        <v>709</v>
      </c>
      <c r="O134" s="31" t="s">
        <v>253</v>
      </c>
      <c r="P134" s="53">
        <v>46070</v>
      </c>
      <c r="Q134" s="40">
        <f t="shared" si="2"/>
        <v>2</v>
      </c>
      <c r="R134" s="40"/>
    </row>
    <row r="135" spans="1:18" x14ac:dyDescent="0.2">
      <c r="A135" s="17">
        <v>134</v>
      </c>
      <c r="B135" s="62" t="s">
        <v>269</v>
      </c>
      <c r="C135" s="18">
        <v>440</v>
      </c>
      <c r="D135" s="62" t="s">
        <v>514</v>
      </c>
      <c r="E135" s="18" t="s">
        <v>47</v>
      </c>
      <c r="F135" s="74" t="str">
        <f>IF(E135="","",VLOOKUP(E135,Causas!$A$2:$B$90,2,FALSE))</f>
        <v>Partículas incandescentes  generadas por roce de maquinaria o herramienta agrícola con rocas, cercos o material metálico</v>
      </c>
      <c r="G135" s="70" t="str">
        <f>IF(E135="","",VLOOKUP(E135,Causas!$A$2:$D$90,3,FALSE()))</f>
        <v>1.2</v>
      </c>
      <c r="H135" s="74" t="str">
        <f>IF(E135="","",VLOOKUP(E135,Causas!$A$2:$D$90,4,FALSE()))</f>
        <v>Faenas agrícolas y pecuarias</v>
      </c>
      <c r="I135" s="74" t="str">
        <f>IF(E135="","",VLOOKUP(E135,Causas!$A$2:$E$90,5,FALSE()))</f>
        <v>Accidentales</v>
      </c>
      <c r="J135" s="18">
        <v>303037</v>
      </c>
      <c r="K135" s="18">
        <v>6142480</v>
      </c>
      <c r="L135" s="18">
        <v>1.4</v>
      </c>
      <c r="M135" s="18" t="s">
        <v>679</v>
      </c>
      <c r="N135" s="31" t="s">
        <v>710</v>
      </c>
      <c r="O135" s="31" t="s">
        <v>253</v>
      </c>
      <c r="P135" s="53">
        <v>46050</v>
      </c>
      <c r="Q135" s="40">
        <f t="shared" si="2"/>
        <v>1</v>
      </c>
      <c r="R135" s="40"/>
    </row>
    <row r="136" spans="1:18" x14ac:dyDescent="0.2">
      <c r="A136" s="17">
        <v>135</v>
      </c>
      <c r="B136" s="62" t="s">
        <v>254</v>
      </c>
      <c r="C136" s="18">
        <v>322</v>
      </c>
      <c r="D136" s="62" t="s">
        <v>515</v>
      </c>
      <c r="E136" s="18" t="s">
        <v>93</v>
      </c>
      <c r="F136" s="74" t="str">
        <f>IF(E136="","",VLOOKUP(E136,Causas!$A$2:$B$90,2,FALSE))</f>
        <v>Provocado, no se identifica la motivación</v>
      </c>
      <c r="G136" s="70" t="str">
        <f>IF(E136="","",VLOOKUP(E136,Causas!$A$2:$D$90,3,FALSE()))</f>
        <v>2.1</v>
      </c>
      <c r="H136" s="74" t="str">
        <f>IF(E136="","",VLOOKUP(E136,Causas!$A$2:$D$90,4,FALSE()))</f>
        <v>Incendios intencionales</v>
      </c>
      <c r="I136" s="74" t="str">
        <f>IF(E136="","",VLOOKUP(E136,Causas!$A$2:$E$90,5,FALSE()))</f>
        <v>Intencionales</v>
      </c>
      <c r="J136" s="18">
        <v>247007</v>
      </c>
      <c r="K136" s="18">
        <v>6044543</v>
      </c>
      <c r="L136" s="18">
        <v>2.74</v>
      </c>
      <c r="M136" s="18" t="s">
        <v>679</v>
      </c>
      <c r="N136" s="31" t="s">
        <v>711</v>
      </c>
      <c r="O136" s="31" t="s">
        <v>248</v>
      </c>
      <c r="P136" s="53">
        <v>46026</v>
      </c>
      <c r="Q136" s="40">
        <f t="shared" si="2"/>
        <v>1</v>
      </c>
      <c r="R136" s="40"/>
    </row>
    <row r="137" spans="1:18" x14ac:dyDescent="0.2">
      <c r="A137" s="17">
        <v>136</v>
      </c>
      <c r="B137" s="62" t="s">
        <v>254</v>
      </c>
      <c r="C137" s="18">
        <v>293</v>
      </c>
      <c r="D137" s="62" t="s">
        <v>516</v>
      </c>
      <c r="E137" s="18" t="s">
        <v>189</v>
      </c>
      <c r="F137" s="74" t="str">
        <f>IF(E137="","",VLOOKUP(E137,Causas!$A$2:$B$90,2,FALSE))</f>
        <v>Combustión de la vegetación, producto del contacto o proximidad con el tendido eléctrico</v>
      </c>
      <c r="G137" s="70" t="str">
        <f>IF(E137="","",VLOOKUP(E137,Causas!$A$2:$D$90,3,FALSE()))</f>
        <v>4.9</v>
      </c>
      <c r="H137" s="74" t="str">
        <f>IF(E137="","",VLOOKUP(E137,Causas!$A$2:$D$90,4,FALSE()))</f>
        <v>Líneas eléctricas</v>
      </c>
      <c r="I137" s="74" t="str">
        <f>IF(E137="","",VLOOKUP(E137,Causas!$A$2:$E$90,5,FALSE()))</f>
        <v>Negligentes</v>
      </c>
      <c r="J137" s="18">
        <v>244752</v>
      </c>
      <c r="K137" s="18">
        <v>6042387</v>
      </c>
      <c r="L137" s="18">
        <v>0.9</v>
      </c>
      <c r="M137" s="18" t="s">
        <v>679</v>
      </c>
      <c r="N137" s="31" t="s">
        <v>712</v>
      </c>
      <c r="O137" s="31" t="s">
        <v>248</v>
      </c>
      <c r="P137" s="53">
        <v>46020</v>
      </c>
      <c r="Q137" s="40">
        <f t="shared" si="2"/>
        <v>12</v>
      </c>
      <c r="R137" s="40"/>
    </row>
    <row r="138" spans="1:18" x14ac:dyDescent="0.2">
      <c r="A138" s="17">
        <v>137</v>
      </c>
      <c r="B138" s="62" t="s">
        <v>256</v>
      </c>
      <c r="C138" s="18">
        <v>435</v>
      </c>
      <c r="D138" s="62" t="s">
        <v>517</v>
      </c>
      <c r="E138" s="18" t="s">
        <v>192</v>
      </c>
      <c r="F138" s="74" t="str">
        <f>IF(E138="","",VLOOKUP(E138,Causas!$A$2:$B$90,2,FALSE))</f>
        <v>Corte de conductor eléctrico por caída de rama o árbol (excepto por faena forestal o agrícola)</v>
      </c>
      <c r="G138" s="70" t="str">
        <f>IF(E138="","",VLOOKUP(E138,Causas!$A$2:$D$90,3,FALSE()))</f>
        <v>4.9</v>
      </c>
      <c r="H138" s="74" t="str">
        <f>IF(E138="","",VLOOKUP(E138,Causas!$A$2:$D$90,4,FALSE()))</f>
        <v>Líneas eléctricas</v>
      </c>
      <c r="I138" s="74" t="str">
        <f>IF(E138="","",VLOOKUP(E138,Causas!$A$2:$E$90,5,FALSE()))</f>
        <v>Negligentes</v>
      </c>
      <c r="J138" s="18">
        <v>289453</v>
      </c>
      <c r="K138" s="18">
        <v>6092711</v>
      </c>
      <c r="L138" s="18">
        <v>2</v>
      </c>
      <c r="M138" s="18" t="s">
        <v>679</v>
      </c>
      <c r="N138" s="31" t="s">
        <v>713</v>
      </c>
      <c r="O138" s="31" t="s">
        <v>242</v>
      </c>
      <c r="P138" s="53">
        <v>46048</v>
      </c>
      <c r="Q138" s="40">
        <f t="shared" si="2"/>
        <v>1</v>
      </c>
      <c r="R138" s="40"/>
    </row>
    <row r="139" spans="1:18" x14ac:dyDescent="0.2">
      <c r="A139" s="17">
        <v>138</v>
      </c>
      <c r="B139" s="62" t="s">
        <v>257</v>
      </c>
      <c r="C139" s="18">
        <v>542</v>
      </c>
      <c r="D139" s="62" t="s">
        <v>518</v>
      </c>
      <c r="E139" s="18" t="s">
        <v>165</v>
      </c>
      <c r="F139" s="74" t="str">
        <f>IF(E139="","",VLOOKUP(E139,Causas!$A$2:$B$90,2,FALSE))</f>
        <v>Generado por el uso de equipos o herramientas con fines de construcción, limpieza o montaje de estructuras</v>
      </c>
      <c r="G139" s="70" t="str">
        <f>IF(E139="","",VLOOKUP(E139,Causas!$A$2:$D$90,3,FALSE()))</f>
        <v>4.6</v>
      </c>
      <c r="H139" s="74" t="str">
        <f>IF(E139="","",VLOOKUP(E139,Causas!$A$2:$D$90,4,FALSE()))</f>
        <v>Parcelaciones, edificaciones residenciales, industriales u otras en zonas rurales o de interfaz</v>
      </c>
      <c r="I139" s="74" t="str">
        <f>IF(E139="","",VLOOKUP(E139,Causas!$A$2:$E$90,5,FALSE()))</f>
        <v>Negligentes</v>
      </c>
      <c r="J139" s="18">
        <v>278087</v>
      </c>
      <c r="K139" s="18">
        <v>6086172</v>
      </c>
      <c r="L139" s="18">
        <v>1</v>
      </c>
      <c r="M139" s="18" t="s">
        <v>679</v>
      </c>
      <c r="N139" s="31" t="s">
        <v>714</v>
      </c>
      <c r="O139" s="31" t="s">
        <v>242</v>
      </c>
      <c r="P139" s="53">
        <v>46073</v>
      </c>
      <c r="Q139" s="40">
        <f t="shared" si="2"/>
        <v>2</v>
      </c>
      <c r="R139" s="40"/>
    </row>
    <row r="140" spans="1:18" x14ac:dyDescent="0.2">
      <c r="A140" s="17">
        <v>139</v>
      </c>
      <c r="B140" s="62" t="s">
        <v>242</v>
      </c>
      <c r="C140" s="18">
        <v>537</v>
      </c>
      <c r="D140" s="62" t="s">
        <v>519</v>
      </c>
      <c r="E140" s="18" t="s">
        <v>223</v>
      </c>
      <c r="F140" s="74" t="str">
        <f>IF(E140="","",VLOOKUP(E140,Causas!$A$2:$B$90,2,FALSE))</f>
        <v>Otras actividades negligentes no clasificadas</v>
      </c>
      <c r="G140" s="70" t="str">
        <f>IF(E140="","",VLOOKUP(E140,Causas!$A$2:$D$90,3,FALSE()))</f>
        <v>4.10</v>
      </c>
      <c r="H140" s="74" t="str">
        <f>IF(E140="","",VLOOKUP(E140,Causas!$A$2:$D$90,4,FALSE()))</f>
        <v>Otras causas</v>
      </c>
      <c r="I140" s="74" t="str">
        <f>IF(E140="","",VLOOKUP(E140,Causas!$A$2:$E$90,5,FALSE()))</f>
        <v>Negligentes</v>
      </c>
      <c r="J140" s="18">
        <v>256333</v>
      </c>
      <c r="K140" s="18">
        <v>6077612</v>
      </c>
      <c r="L140" s="18">
        <v>1</v>
      </c>
      <c r="M140" s="18" t="s">
        <v>679</v>
      </c>
      <c r="N140" s="31" t="s">
        <v>715</v>
      </c>
      <c r="O140" s="31" t="s">
        <v>242</v>
      </c>
      <c r="P140" s="53">
        <v>46072</v>
      </c>
      <c r="Q140" s="40">
        <f t="shared" si="2"/>
        <v>2</v>
      </c>
      <c r="R140" s="40"/>
    </row>
    <row r="141" spans="1:18" x14ac:dyDescent="0.2">
      <c r="A141" s="17">
        <v>140</v>
      </c>
      <c r="B141" s="62" t="s">
        <v>242</v>
      </c>
      <c r="C141" s="18">
        <v>547</v>
      </c>
      <c r="D141" s="62" t="s">
        <v>520</v>
      </c>
      <c r="E141" s="18" t="s">
        <v>93</v>
      </c>
      <c r="F141" s="74" t="str">
        <f>IF(E141="","",VLOOKUP(E141,Causas!$A$2:$B$90,2,FALSE))</f>
        <v>Provocado, no se identifica la motivación</v>
      </c>
      <c r="G141" s="70" t="str">
        <f>IF(E141="","",VLOOKUP(E141,Causas!$A$2:$D$90,3,FALSE()))</f>
        <v>2.1</v>
      </c>
      <c r="H141" s="74" t="str">
        <f>IF(E141="","",VLOOKUP(E141,Causas!$A$2:$D$90,4,FALSE()))</f>
        <v>Incendios intencionales</v>
      </c>
      <c r="I141" s="74" t="str">
        <f>IF(E141="","",VLOOKUP(E141,Causas!$A$2:$E$90,5,FALSE()))</f>
        <v>Intencionales</v>
      </c>
      <c r="J141" s="18">
        <v>256294</v>
      </c>
      <c r="K141" s="18">
        <v>6077713</v>
      </c>
      <c r="L141" s="18">
        <v>0.03</v>
      </c>
      <c r="M141" s="18" t="s">
        <v>679</v>
      </c>
      <c r="N141" s="31" t="s">
        <v>716</v>
      </c>
      <c r="O141" s="31" t="s">
        <v>242</v>
      </c>
      <c r="P141" s="53">
        <v>46075</v>
      </c>
      <c r="Q141" s="40">
        <f t="shared" si="2"/>
        <v>2</v>
      </c>
      <c r="R141" s="40"/>
    </row>
    <row r="142" spans="1:18" x14ac:dyDescent="0.2">
      <c r="A142" s="17">
        <v>141</v>
      </c>
      <c r="B142" s="62" t="s">
        <v>254</v>
      </c>
      <c r="C142" s="18">
        <v>481</v>
      </c>
      <c r="D142" s="62" t="s">
        <v>521</v>
      </c>
      <c r="E142" s="18" t="s">
        <v>165</v>
      </c>
      <c r="F142" s="74" t="str">
        <f>IF(E142="","",VLOOKUP(E142,Causas!$A$2:$B$90,2,FALSE))</f>
        <v>Generado por el uso de equipos o herramientas con fines de construcción, limpieza o montaje de estructuras</v>
      </c>
      <c r="G142" s="70" t="str">
        <f>IF(E142="","",VLOOKUP(E142,Causas!$A$2:$D$90,3,FALSE()))</f>
        <v>4.6</v>
      </c>
      <c r="H142" s="74" t="str">
        <f>IF(E142="","",VLOOKUP(E142,Causas!$A$2:$D$90,4,FALSE()))</f>
        <v>Parcelaciones, edificaciones residenciales, industriales u otras en zonas rurales o de interfaz</v>
      </c>
      <c r="I142" s="74" t="str">
        <f>IF(E142="","",VLOOKUP(E142,Causas!$A$2:$E$90,5,FALSE()))</f>
        <v>Negligentes</v>
      </c>
      <c r="J142" s="18">
        <v>242694</v>
      </c>
      <c r="K142" s="18">
        <v>6038613</v>
      </c>
      <c r="L142" s="18">
        <v>1.5</v>
      </c>
      <c r="M142" s="18" t="s">
        <v>679</v>
      </c>
      <c r="N142" s="31" t="s">
        <v>717</v>
      </c>
      <c r="O142" s="31" t="s">
        <v>248</v>
      </c>
      <c r="P142" s="53">
        <v>46060</v>
      </c>
      <c r="Q142" s="40">
        <f t="shared" si="2"/>
        <v>2</v>
      </c>
      <c r="R142" s="40"/>
    </row>
    <row r="143" spans="1:18" x14ac:dyDescent="0.2">
      <c r="A143" s="17">
        <v>142</v>
      </c>
      <c r="B143" s="62" t="s">
        <v>252</v>
      </c>
      <c r="C143" s="18">
        <v>551</v>
      </c>
      <c r="D143" s="62" t="s">
        <v>522</v>
      </c>
      <c r="E143" s="18" t="s">
        <v>207</v>
      </c>
      <c r="F143" s="74" t="str">
        <f>IF(E143="","",VLOOKUP(E143,Causas!$A$2:$B$90,2,FALSE))</f>
        <v>Acciones asociadas a fumar</v>
      </c>
      <c r="G143" s="70" t="str">
        <f>IF(E143="","",VLOOKUP(E143,Causas!$A$2:$D$90,3,FALSE()))</f>
        <v>4.10</v>
      </c>
      <c r="H143" s="74" t="str">
        <f>IF(E143="","",VLOOKUP(E143,Causas!$A$2:$D$90,4,FALSE()))</f>
        <v>Otras causas</v>
      </c>
      <c r="I143" s="74" t="str">
        <f>IF(E143="","",VLOOKUP(E143,Causas!$A$2:$E$90,5,FALSE()))</f>
        <v>Negligentes</v>
      </c>
      <c r="J143" s="18">
        <v>267840</v>
      </c>
      <c r="K143" s="18">
        <v>6103997</v>
      </c>
      <c r="L143" s="18">
        <v>60</v>
      </c>
      <c r="M143" s="18" t="s">
        <v>679</v>
      </c>
      <c r="N143" s="31" t="s">
        <v>718</v>
      </c>
      <c r="O143" s="31" t="s">
        <v>253</v>
      </c>
      <c r="P143" s="53">
        <v>46076</v>
      </c>
      <c r="Q143" s="40">
        <f t="shared" si="2"/>
        <v>2</v>
      </c>
      <c r="R143" s="40"/>
    </row>
    <row r="144" spans="1:18" x14ac:dyDescent="0.2">
      <c r="A144" s="17">
        <v>143</v>
      </c>
      <c r="B144" s="62" t="s">
        <v>254</v>
      </c>
      <c r="C144" s="18">
        <v>552</v>
      </c>
      <c r="D144" s="62" t="s">
        <v>523</v>
      </c>
      <c r="E144" s="18" t="s">
        <v>225</v>
      </c>
      <c r="F144" s="74" t="str">
        <f>IF(E144="","",VLOOKUP(E144,Causas!$A$2:$B$90,2,FALSE))</f>
        <v>Elaboración de carbón</v>
      </c>
      <c r="G144" s="70" t="str">
        <f>IF(E144="","",VLOOKUP(E144,Causas!$A$2:$D$90,3,FALSE()))</f>
        <v>4.11</v>
      </c>
      <c r="H144" s="74" t="str">
        <f>IF(E144="","",VLOOKUP(E144,Causas!$A$2:$D$90,4,FALSE()))</f>
        <v>Producción y/o extracción de productos y/o derivados del bosque</v>
      </c>
      <c r="I144" s="74" t="str">
        <f>IF(E144="","",VLOOKUP(E144,Causas!$A$2:$E$90,5,FALSE()))</f>
        <v>Negligentes</v>
      </c>
      <c r="J144" s="18">
        <v>239562</v>
      </c>
      <c r="K144" s="18">
        <v>6031989</v>
      </c>
      <c r="L144" s="18">
        <v>49</v>
      </c>
      <c r="M144" s="18" t="s">
        <v>679</v>
      </c>
      <c r="N144" s="19" t="s">
        <v>719</v>
      </c>
      <c r="O144" s="31" t="s">
        <v>248</v>
      </c>
      <c r="P144" s="53">
        <v>46076</v>
      </c>
      <c r="Q144" s="40">
        <f t="shared" si="2"/>
        <v>2</v>
      </c>
      <c r="R144" s="40"/>
    </row>
    <row r="145" spans="1:18" x14ac:dyDescent="0.2">
      <c r="A145" s="17">
        <v>144</v>
      </c>
      <c r="B145" s="62" t="s">
        <v>254</v>
      </c>
      <c r="C145" s="18">
        <v>288</v>
      </c>
      <c r="D145" s="62" t="s">
        <v>524</v>
      </c>
      <c r="E145" s="18" t="s">
        <v>21</v>
      </c>
      <c r="F145" s="74" t="str">
        <f>IF(E145="","",VLOOKUP(E145,Causas!$A$2:$B$90,2,FALSE))</f>
        <v>Empleo de fuentes de calor en actividades relacionadas a parcelaciones (asados, tijerales, fogatas, otros)</v>
      </c>
      <c r="G145" s="70" t="str">
        <f>IF(E145="","",VLOOKUP(E145,Causas!$A$2:$D$90,3,FALSE()))</f>
        <v>4.6</v>
      </c>
      <c r="H145" s="74" t="str">
        <f>IF(E145="","",VLOOKUP(E145,Causas!$A$2:$D$90,4,FALSE()))</f>
        <v>Parcelaciones, edificaciones residenciales, industriales u otras en zonas rurales o de interfaz</v>
      </c>
      <c r="I145" s="74" t="str">
        <f>IF(E145="","",VLOOKUP(E145,Causas!$A$2:$E$90,5,FALSE()))</f>
        <v>Negligentes</v>
      </c>
      <c r="J145" s="18">
        <v>236806</v>
      </c>
      <c r="K145" s="18">
        <v>6043667</v>
      </c>
      <c r="L145" s="18">
        <v>0.4</v>
      </c>
      <c r="M145" s="18" t="s">
        <v>679</v>
      </c>
      <c r="N145" s="19" t="s">
        <v>720</v>
      </c>
      <c r="O145" s="31" t="s">
        <v>248</v>
      </c>
      <c r="P145" s="53">
        <v>46019</v>
      </c>
      <c r="Q145" s="40">
        <f t="shared" si="2"/>
        <v>12</v>
      </c>
      <c r="R145" s="40"/>
    </row>
    <row r="146" spans="1:18" x14ac:dyDescent="0.2">
      <c r="A146" s="17">
        <v>145</v>
      </c>
      <c r="B146" s="62" t="s">
        <v>241</v>
      </c>
      <c r="C146" s="18">
        <v>540</v>
      </c>
      <c r="D146" s="62" t="s">
        <v>525</v>
      </c>
      <c r="E146" s="18" t="s">
        <v>165</v>
      </c>
      <c r="F146" s="74" t="str">
        <f>IF(E146="","",VLOOKUP(E146,Causas!$A$2:$B$90,2,FALSE))</f>
        <v>Generado por el uso de equipos o herramientas con fines de construcción, limpieza o montaje de estructuras</v>
      </c>
      <c r="G146" s="70" t="str">
        <f>IF(E146="","",VLOOKUP(E146,Causas!$A$2:$D$90,3,FALSE()))</f>
        <v>4.6</v>
      </c>
      <c r="H146" s="74" t="str">
        <f>IF(E146="","",VLOOKUP(E146,Causas!$A$2:$D$90,4,FALSE()))</f>
        <v>Parcelaciones, edificaciones residenciales, industriales u otras en zonas rurales o de interfaz</v>
      </c>
      <c r="I146" s="74" t="str">
        <f>IF(E146="","",VLOOKUP(E146,Causas!$A$2:$E$90,5,FALSE()))</f>
        <v>Negligentes</v>
      </c>
      <c r="J146" s="18">
        <v>742445</v>
      </c>
      <c r="K146" s="18">
        <v>6006703</v>
      </c>
      <c r="L146" s="18">
        <v>99</v>
      </c>
      <c r="M146" s="18" t="s">
        <v>679</v>
      </c>
      <c r="N146" s="19" t="s">
        <v>721</v>
      </c>
      <c r="O146" s="31" t="s">
        <v>241</v>
      </c>
      <c r="P146" s="53">
        <v>46073</v>
      </c>
      <c r="Q146" s="40">
        <f t="shared" si="2"/>
        <v>2</v>
      </c>
      <c r="R146" s="40"/>
    </row>
    <row r="147" spans="1:18" x14ac:dyDescent="0.2">
      <c r="A147" s="17">
        <v>146</v>
      </c>
      <c r="B147" s="62" t="s">
        <v>241</v>
      </c>
      <c r="C147" s="18">
        <v>534</v>
      </c>
      <c r="D147" s="62" t="s">
        <v>526</v>
      </c>
      <c r="E147" s="18" t="s">
        <v>101</v>
      </c>
      <c r="F147" s="74" t="str">
        <f>IF(E147="","",VLOOKUP(E147,Causas!$A$2:$B$90,2,FALSE))</f>
        <v>Obtención beneficios económicos (compra de madera, presión por trabajo, robo  maderero, otros)</v>
      </c>
      <c r="G147" s="70" t="str">
        <f>IF(E147="","",VLOOKUP(E147,Causas!$A$2:$D$90,3,FALSE()))</f>
        <v>2.1</v>
      </c>
      <c r="H147" s="74" t="str">
        <f>IF(E147="","",VLOOKUP(E147,Causas!$A$2:$D$90,4,FALSE()))</f>
        <v>Incendios intencionales</v>
      </c>
      <c r="I147" s="74" t="str">
        <f>IF(E147="","",VLOOKUP(E147,Causas!$A$2:$E$90,5,FALSE()))</f>
        <v>Intencionales</v>
      </c>
      <c r="J147" s="18">
        <v>736529</v>
      </c>
      <c r="K147" s="18">
        <v>6022717</v>
      </c>
      <c r="L147" s="18">
        <v>0.09</v>
      </c>
      <c r="M147" s="18" t="s">
        <v>679</v>
      </c>
      <c r="N147" s="19" t="s">
        <v>722</v>
      </c>
      <c r="O147" s="31" t="s">
        <v>241</v>
      </c>
      <c r="P147" s="53">
        <v>46071</v>
      </c>
      <c r="Q147" s="40">
        <f t="shared" si="2"/>
        <v>2</v>
      </c>
      <c r="R147" s="40"/>
    </row>
    <row r="148" spans="1:18" x14ac:dyDescent="0.2">
      <c r="A148" s="17">
        <v>147</v>
      </c>
      <c r="B148" s="62" t="s">
        <v>241</v>
      </c>
      <c r="C148" s="18">
        <v>545</v>
      </c>
      <c r="D148" s="62" t="s">
        <v>527</v>
      </c>
      <c r="E148" s="18" t="s">
        <v>101</v>
      </c>
      <c r="F148" s="74" t="str">
        <f>IF(E148="","",VLOOKUP(E148,Causas!$A$2:$B$90,2,FALSE))</f>
        <v>Obtención beneficios económicos (compra de madera, presión por trabajo, robo  maderero, otros)</v>
      </c>
      <c r="G148" s="70" t="str">
        <f>IF(E148="","",VLOOKUP(E148,Causas!$A$2:$D$90,3,FALSE()))</f>
        <v>2.1</v>
      </c>
      <c r="H148" s="74" t="str">
        <f>IF(E148="","",VLOOKUP(E148,Causas!$A$2:$D$90,4,FALSE()))</f>
        <v>Incendios intencionales</v>
      </c>
      <c r="I148" s="74" t="str">
        <f>IF(E148="","",VLOOKUP(E148,Causas!$A$2:$E$90,5,FALSE()))</f>
        <v>Intencionales</v>
      </c>
      <c r="J148" s="20">
        <v>737922</v>
      </c>
      <c r="K148" s="18">
        <v>6021799</v>
      </c>
      <c r="L148" s="18">
        <v>0.01</v>
      </c>
      <c r="M148" s="18" t="s">
        <v>679</v>
      </c>
      <c r="N148" s="19" t="s">
        <v>723</v>
      </c>
      <c r="O148" s="31" t="s">
        <v>241</v>
      </c>
      <c r="P148" s="53">
        <v>46074</v>
      </c>
      <c r="Q148" s="40">
        <f t="shared" si="2"/>
        <v>2</v>
      </c>
      <c r="R148" s="40"/>
    </row>
    <row r="149" spans="1:18" x14ac:dyDescent="0.2">
      <c r="A149" s="17">
        <v>148</v>
      </c>
      <c r="B149" s="62" t="s">
        <v>258</v>
      </c>
      <c r="C149" s="18">
        <v>333</v>
      </c>
      <c r="D149" s="62" t="s">
        <v>528</v>
      </c>
      <c r="E149" s="18" t="s">
        <v>20</v>
      </c>
      <c r="F149" s="74" t="str">
        <f>IF(E149="","",VLOOKUP(E149,Causas!$A$2:$B$90,2,FALSE))</f>
        <v>Empleo de fuentes de calor en faena de extracción y/o confección de leña no industrial</v>
      </c>
      <c r="G149" s="70" t="str">
        <f>IF(E149="","",VLOOKUP(E149,Causas!$A$2:$D$90,3,FALSE()))</f>
        <v>4.11</v>
      </c>
      <c r="H149" s="74" t="str">
        <f>IF(E149="","",VLOOKUP(E149,Causas!$A$2:$D$90,4,FALSE()))</f>
        <v>Producción y/o extracción de productos y/o derivados del bosque</v>
      </c>
      <c r="I149" s="74" t="str">
        <f>IF(E149="","",VLOOKUP(E149,Causas!$A$2:$E$90,5,FALSE()))</f>
        <v>Negligentes</v>
      </c>
      <c r="J149" s="18">
        <v>249178</v>
      </c>
      <c r="K149" s="18">
        <v>6015708</v>
      </c>
      <c r="L149" s="18">
        <v>5</v>
      </c>
      <c r="M149" s="18" t="s">
        <v>679</v>
      </c>
      <c r="N149" s="19" t="s">
        <v>724</v>
      </c>
      <c r="O149" s="31" t="s">
        <v>248</v>
      </c>
      <c r="P149" s="53">
        <v>46031</v>
      </c>
      <c r="Q149" s="40">
        <f t="shared" si="2"/>
        <v>1</v>
      </c>
      <c r="R149" s="40"/>
    </row>
    <row r="150" spans="1:18" x14ac:dyDescent="0.2">
      <c r="A150" s="17">
        <v>149</v>
      </c>
      <c r="B150" s="62" t="s">
        <v>258</v>
      </c>
      <c r="C150" s="18">
        <v>339</v>
      </c>
      <c r="D150" s="62" t="s">
        <v>529</v>
      </c>
      <c r="E150" s="18" t="s">
        <v>160</v>
      </c>
      <c r="F150" s="74" t="str">
        <f>IF(E150="","",VLOOKUP(E150,Causas!$A$2:$B$90,2,FALSE))</f>
        <v>Rebrote de incendio anterior, declarado extinto</v>
      </c>
      <c r="G150" s="70" t="str">
        <f>IF(E150="","",VLOOKUP(E150,Causas!$A$2:$D$90,3,FALSE()))</f>
        <v>4.5</v>
      </c>
      <c r="H150" s="74" t="str">
        <f>IF(E150="","",VLOOKUP(E150,Causas!$A$2:$D$90,4,FALSE()))</f>
        <v>Actividades de control y extinción de incendios forestales</v>
      </c>
      <c r="I150" s="74" t="str">
        <f>IF(E150="","",VLOOKUP(E150,Causas!$A$2:$E$90,5,FALSE()))</f>
        <v>Negligentes</v>
      </c>
      <c r="J150" s="18">
        <v>249332</v>
      </c>
      <c r="K150" s="18">
        <v>6015755</v>
      </c>
      <c r="L150" s="18">
        <v>0.3</v>
      </c>
      <c r="M150" s="18" t="s">
        <v>679</v>
      </c>
      <c r="N150" s="19" t="s">
        <v>725</v>
      </c>
      <c r="O150" s="31" t="s">
        <v>248</v>
      </c>
      <c r="P150" s="53">
        <v>46032</v>
      </c>
      <c r="Q150" s="40">
        <f t="shared" si="2"/>
        <v>1</v>
      </c>
      <c r="R150" s="40"/>
    </row>
    <row r="151" spans="1:18" x14ac:dyDescent="0.2">
      <c r="A151" s="17">
        <v>150</v>
      </c>
      <c r="B151" s="62" t="s">
        <v>266</v>
      </c>
      <c r="C151" s="18">
        <v>561</v>
      </c>
      <c r="D151" s="62" t="s">
        <v>530</v>
      </c>
      <c r="E151" s="18" t="s">
        <v>93</v>
      </c>
      <c r="F151" s="74" t="str">
        <f>IF(E151="","",VLOOKUP(E151,Causas!$A$2:$B$90,2,FALSE))</f>
        <v>Provocado, no se identifica la motivación</v>
      </c>
      <c r="G151" s="70" t="str">
        <f>IF(E151="","",VLOOKUP(E151,Causas!$A$2:$D$90,3,FALSE()))</f>
        <v>2.1</v>
      </c>
      <c r="H151" s="74" t="str">
        <f>IF(E151="","",VLOOKUP(E151,Causas!$A$2:$D$90,4,FALSE()))</f>
        <v>Incendios intencionales</v>
      </c>
      <c r="I151" s="74" t="str">
        <f>IF(E151="","",VLOOKUP(E151,Causas!$A$2:$E$90,5,FALSE()))</f>
        <v>Intencionales</v>
      </c>
      <c r="J151" s="18">
        <v>253370</v>
      </c>
      <c r="K151" s="18">
        <v>6108330</v>
      </c>
      <c r="L151" s="18">
        <v>514</v>
      </c>
      <c r="M151" s="18" t="s">
        <v>679</v>
      </c>
      <c r="N151" s="19" t="s">
        <v>726</v>
      </c>
      <c r="O151" s="31" t="s">
        <v>242</v>
      </c>
      <c r="P151" s="53">
        <v>46078</v>
      </c>
      <c r="Q151" s="40">
        <f t="shared" si="2"/>
        <v>2</v>
      </c>
      <c r="R151" s="40"/>
    </row>
    <row r="152" spans="1:18" x14ac:dyDescent="0.2">
      <c r="A152" s="17">
        <v>151</v>
      </c>
      <c r="B152" s="62" t="s">
        <v>242</v>
      </c>
      <c r="C152" s="18">
        <v>573</v>
      </c>
      <c r="D152" s="62" t="s">
        <v>531</v>
      </c>
      <c r="E152" s="18" t="s">
        <v>207</v>
      </c>
      <c r="F152" s="74" t="str">
        <f>IF(E152="","",VLOOKUP(E152,Causas!$A$2:$B$90,2,FALSE))</f>
        <v>Acciones asociadas a fumar</v>
      </c>
      <c r="G152" s="70" t="str">
        <f>IF(E152="","",VLOOKUP(E152,Causas!$A$2:$D$90,3,FALSE()))</f>
        <v>4.10</v>
      </c>
      <c r="H152" s="74" t="str">
        <f>IF(E152="","",VLOOKUP(E152,Causas!$A$2:$D$90,4,FALSE()))</f>
        <v>Otras causas</v>
      </c>
      <c r="I152" s="74" t="str">
        <f>IF(E152="","",VLOOKUP(E152,Causas!$A$2:$E$90,5,FALSE()))</f>
        <v>Negligentes</v>
      </c>
      <c r="J152" s="18">
        <v>253161</v>
      </c>
      <c r="K152" s="18">
        <v>6077170</v>
      </c>
      <c r="L152" s="18">
        <v>10</v>
      </c>
      <c r="M152" s="18" t="s">
        <v>679</v>
      </c>
      <c r="N152" s="19" t="s">
        <v>727</v>
      </c>
      <c r="O152" s="31" t="s">
        <v>242</v>
      </c>
      <c r="P152" s="53">
        <v>46080</v>
      </c>
      <c r="Q152" s="40">
        <f t="shared" si="2"/>
        <v>2</v>
      </c>
      <c r="R152" s="40"/>
    </row>
    <row r="153" spans="1:18" x14ac:dyDescent="0.2">
      <c r="A153" s="17">
        <v>152</v>
      </c>
      <c r="B153" s="62" t="s">
        <v>242</v>
      </c>
      <c r="C153" s="18">
        <v>576</v>
      </c>
      <c r="D153" s="62" t="s">
        <v>532</v>
      </c>
      <c r="E153" s="18" t="s">
        <v>14</v>
      </c>
      <c r="F153" s="74" t="str">
        <f>IF(E153="","",VLOOKUP(E153,Causas!$A$2:$B$90,2,FALSE))</f>
        <v>Quema no avisada con fines de limpieza en canales, cunetas, cercos o caminos (en predios particulares o públicos) que se propaga libre y sin control</v>
      </c>
      <c r="G153" s="70" t="str">
        <f>IF(E153="","",VLOOKUP(E153,Causas!$A$2:$D$90,3,FALSE()))</f>
        <v>4.8</v>
      </c>
      <c r="H153" s="74" t="str">
        <f>IF(E153="","",VLOOKUP(E153,Causas!$A$2:$D$90,4,FALSE()))</f>
        <v>Otras quemas</v>
      </c>
      <c r="I153" s="74" t="str">
        <f>IF(E153="","",VLOOKUP(E153,Causas!$A$2:$E$90,5,FALSE()))</f>
        <v>Negligentes</v>
      </c>
      <c r="J153" s="18">
        <v>260209</v>
      </c>
      <c r="K153" s="18">
        <v>6073787</v>
      </c>
      <c r="L153" s="18">
        <v>2.2999999999999998</v>
      </c>
      <c r="M153" s="18" t="s">
        <v>679</v>
      </c>
      <c r="N153" s="19" t="s">
        <v>728</v>
      </c>
      <c r="O153" s="31" t="s">
        <v>242</v>
      </c>
      <c r="P153" s="53">
        <v>46080</v>
      </c>
      <c r="Q153" s="40">
        <f t="shared" si="2"/>
        <v>2</v>
      </c>
      <c r="R153" s="40"/>
    </row>
    <row r="154" spans="1:18" x14ac:dyDescent="0.2">
      <c r="A154" s="17">
        <v>153</v>
      </c>
      <c r="B154" s="62" t="s">
        <v>266</v>
      </c>
      <c r="C154" s="18">
        <v>577</v>
      </c>
      <c r="D154" s="62" t="s">
        <v>533</v>
      </c>
      <c r="E154" s="18" t="s">
        <v>26</v>
      </c>
      <c r="F154" s="74"/>
      <c r="G154" s="70" t="s">
        <v>26</v>
      </c>
      <c r="H154" s="74" t="s">
        <v>68</v>
      </c>
      <c r="I154" s="74" t="s">
        <v>121</v>
      </c>
      <c r="J154" s="18">
        <v>230285</v>
      </c>
      <c r="K154" s="18">
        <v>6111868</v>
      </c>
      <c r="L154" s="18">
        <v>60</v>
      </c>
      <c r="M154" s="18" t="s">
        <v>680</v>
      </c>
      <c r="N154" s="19" t="s">
        <v>729</v>
      </c>
      <c r="O154" s="31" t="s">
        <v>242</v>
      </c>
      <c r="P154" s="53">
        <v>46081</v>
      </c>
      <c r="Q154" s="40">
        <f t="shared" si="2"/>
        <v>2</v>
      </c>
      <c r="R154" s="40"/>
    </row>
    <row r="155" spans="1:18" x14ac:dyDescent="0.2">
      <c r="A155" s="17">
        <v>154</v>
      </c>
      <c r="B155" s="62" t="s">
        <v>245</v>
      </c>
      <c r="C155" s="18">
        <v>418</v>
      </c>
      <c r="D155" s="62" t="s">
        <v>534</v>
      </c>
      <c r="E155" s="18" t="s">
        <v>165</v>
      </c>
      <c r="F155" s="74" t="str">
        <f>IF(E155="","",VLOOKUP(E155,Causas!$A$2:$B$90,2,FALSE))</f>
        <v>Generado por el uso de equipos o herramientas con fines de construcción, limpieza o montaje de estructuras</v>
      </c>
      <c r="G155" s="70" t="str">
        <f>IF(E155="","",VLOOKUP(E155,Causas!$A$2:$D$90,3,FALSE()))</f>
        <v>4.6</v>
      </c>
      <c r="H155" s="74" t="str">
        <f>IF(E155="","",VLOOKUP(E155,Causas!$A$2:$D$90,4,FALSE()))</f>
        <v>Parcelaciones, edificaciones residenciales, industriales u otras en zonas rurales o de interfaz</v>
      </c>
      <c r="I155" s="74" t="str">
        <f>IF(E155="","",VLOOKUP(E155,Causas!$A$2:$E$90,5,FALSE()))</f>
        <v>Negligentes</v>
      </c>
      <c r="J155" s="18">
        <v>246890</v>
      </c>
      <c r="K155" s="18">
        <v>6091761</v>
      </c>
      <c r="L155" s="18">
        <v>1.5</v>
      </c>
      <c r="M155" s="18" t="s">
        <v>680</v>
      </c>
      <c r="N155" s="19" t="s">
        <v>730</v>
      </c>
      <c r="O155" s="31" t="s">
        <v>242</v>
      </c>
      <c r="P155" s="53">
        <v>46045</v>
      </c>
      <c r="Q155" s="40">
        <f t="shared" si="2"/>
        <v>1</v>
      </c>
      <c r="R155" s="40"/>
    </row>
    <row r="156" spans="1:18" s="22" customFormat="1" x14ac:dyDescent="0.2">
      <c r="A156" s="17">
        <v>155</v>
      </c>
      <c r="B156" s="62" t="s">
        <v>242</v>
      </c>
      <c r="C156" s="18">
        <v>567</v>
      </c>
      <c r="D156" s="62" t="s">
        <v>535</v>
      </c>
      <c r="E156" s="18" t="s">
        <v>169</v>
      </c>
      <c r="F156" s="74" t="str">
        <f>IF(E156="","",VLOOKUP(E156,Causas!$A$2:$B$90,2,FALSE))</f>
        <v>Generado por infraestructura destinada a la producción de energía  (solar, eólica, otros)</v>
      </c>
      <c r="G156" s="70" t="str">
        <f>IF(E156="","",VLOOKUP(E156,Causas!$A$2:$D$90,3,FALSE()))</f>
        <v>4.6</v>
      </c>
      <c r="H156" s="74" t="str">
        <f>IF(E156="","",VLOOKUP(E156,Causas!$A$2:$D$90,4,FALSE()))</f>
        <v>Parcelaciones, edificaciones residenciales, industriales u otras en zonas rurales o de interfaz</v>
      </c>
      <c r="I156" s="74" t="str">
        <f>IF(E156="","",VLOOKUP(E156,Causas!$A$2:$E$90,5,FALSE()))</f>
        <v>Negligentes</v>
      </c>
      <c r="J156" s="18">
        <v>264246</v>
      </c>
      <c r="K156" s="18">
        <v>6082219</v>
      </c>
      <c r="L156" s="18">
        <v>1</v>
      </c>
      <c r="M156" s="18" t="s">
        <v>680</v>
      </c>
      <c r="N156" s="19" t="s">
        <v>731</v>
      </c>
      <c r="O156" s="31" t="s">
        <v>242</v>
      </c>
      <c r="P156" s="53">
        <v>46079</v>
      </c>
      <c r="Q156" s="40">
        <f t="shared" si="2"/>
        <v>2</v>
      </c>
      <c r="R156" s="40"/>
    </row>
    <row r="157" spans="1:18" s="22" customFormat="1" x14ac:dyDescent="0.2">
      <c r="A157" s="17">
        <v>156</v>
      </c>
      <c r="B157" s="62" t="s">
        <v>249</v>
      </c>
      <c r="C157" s="18">
        <v>436</v>
      </c>
      <c r="D157" s="62" t="s">
        <v>536</v>
      </c>
      <c r="E157" s="18" t="s">
        <v>134</v>
      </c>
      <c r="F157" s="74" t="str">
        <f>IF(E157="","",VLOOKUP(E157,Causas!$A$2:$B$90,2,FALSE))</f>
        <v>Quema no avisada de desechos agrícolas que se propaga libre y sin control</v>
      </c>
      <c r="G157" s="70" t="str">
        <f>IF(E157="","",VLOOKUP(E157,Causas!$A$2:$D$90,3,FALSE()))</f>
        <v>4.2</v>
      </c>
      <c r="H157" s="74" t="str">
        <f>IF(E157="","",VLOOKUP(E157,Causas!$A$2:$D$90,4,FALSE()))</f>
        <v>Faenas agrícolas y pecuarias</v>
      </c>
      <c r="I157" s="74" t="str">
        <f>IF(E157="","",VLOOKUP(E157,Causas!$A$2:$E$90,5,FALSE()))</f>
        <v>Negligentes</v>
      </c>
      <c r="J157" s="18">
        <v>276549</v>
      </c>
      <c r="K157" s="18">
        <v>6067739</v>
      </c>
      <c r="L157" s="18">
        <v>5.7</v>
      </c>
      <c r="M157" s="18" t="s">
        <v>680</v>
      </c>
      <c r="N157" s="19" t="s">
        <v>732</v>
      </c>
      <c r="O157" s="31" t="s">
        <v>242</v>
      </c>
      <c r="P157" s="53">
        <v>46049</v>
      </c>
      <c r="Q157" s="40">
        <f t="shared" si="2"/>
        <v>1</v>
      </c>
      <c r="R157" s="40"/>
    </row>
    <row r="158" spans="1:18" s="22" customFormat="1" x14ac:dyDescent="0.2">
      <c r="A158" s="17">
        <v>157</v>
      </c>
      <c r="B158" s="62" t="s">
        <v>258</v>
      </c>
      <c r="C158" s="18">
        <v>346</v>
      </c>
      <c r="D158" s="62" t="s">
        <v>537</v>
      </c>
      <c r="E158" s="18" t="s">
        <v>93</v>
      </c>
      <c r="F158" s="74" t="str">
        <f>IF(E158="","",VLOOKUP(E158,Causas!$A$2:$B$90,2,FALSE))</f>
        <v>Provocado, no se identifica la motivación</v>
      </c>
      <c r="G158" s="70" t="str">
        <f>IF(E158="","",VLOOKUP(E158,Causas!$A$2:$D$90,3,FALSE()))</f>
        <v>2.1</v>
      </c>
      <c r="H158" s="74" t="str">
        <f>IF(E158="","",VLOOKUP(E158,Causas!$A$2:$D$90,4,FALSE()))</f>
        <v>Incendios intencionales</v>
      </c>
      <c r="I158" s="74" t="str">
        <f>IF(E158="","",VLOOKUP(E158,Causas!$A$2:$E$90,5,FALSE()))</f>
        <v>Intencionales</v>
      </c>
      <c r="J158" s="18">
        <v>248721</v>
      </c>
      <c r="K158" s="18">
        <v>6002423</v>
      </c>
      <c r="L158" s="18">
        <v>0.2</v>
      </c>
      <c r="M158" s="18" t="s">
        <v>680</v>
      </c>
      <c r="N158" s="19" t="s">
        <v>733</v>
      </c>
      <c r="O158" s="31" t="s">
        <v>248</v>
      </c>
      <c r="P158" s="53">
        <v>46033</v>
      </c>
      <c r="Q158" s="40">
        <f t="shared" si="2"/>
        <v>1</v>
      </c>
      <c r="R158" s="40"/>
    </row>
    <row r="159" spans="1:18" s="22" customFormat="1" x14ac:dyDescent="0.2">
      <c r="A159" s="17">
        <v>158</v>
      </c>
      <c r="B159" s="62" t="s">
        <v>258</v>
      </c>
      <c r="C159" s="18">
        <v>400</v>
      </c>
      <c r="D159" s="62" t="s">
        <v>538</v>
      </c>
      <c r="E159" s="18" t="s">
        <v>93</v>
      </c>
      <c r="F159" s="74" t="str">
        <f>IF(E159="","",VLOOKUP(E159,Causas!$A$2:$B$90,2,FALSE))</f>
        <v>Provocado, no se identifica la motivación</v>
      </c>
      <c r="G159" s="70" t="str">
        <f>IF(E159="","",VLOOKUP(E159,Causas!$A$2:$D$90,3,FALSE()))</f>
        <v>2.1</v>
      </c>
      <c r="H159" s="74" t="str">
        <f>IF(E159="","",VLOOKUP(E159,Causas!$A$2:$D$90,4,FALSE()))</f>
        <v>Incendios intencionales</v>
      </c>
      <c r="I159" s="74" t="str">
        <f>IF(E159="","",VLOOKUP(E159,Causas!$A$2:$E$90,5,FALSE()))</f>
        <v>Intencionales</v>
      </c>
      <c r="J159" s="18">
        <v>248779</v>
      </c>
      <c r="K159" s="18">
        <v>6002349</v>
      </c>
      <c r="L159" s="18">
        <v>0.2</v>
      </c>
      <c r="M159" s="18" t="s">
        <v>680</v>
      </c>
      <c r="N159" s="19" t="s">
        <v>734</v>
      </c>
      <c r="O159" s="31" t="s">
        <v>248</v>
      </c>
      <c r="P159" s="53">
        <v>46040</v>
      </c>
      <c r="Q159" s="40">
        <f t="shared" si="2"/>
        <v>1</v>
      </c>
      <c r="R159" s="40"/>
    </row>
    <row r="160" spans="1:18" x14ac:dyDescent="0.2">
      <c r="A160" s="17">
        <v>159</v>
      </c>
      <c r="B160" s="62" t="s">
        <v>258</v>
      </c>
      <c r="C160" s="18">
        <v>289</v>
      </c>
      <c r="D160" s="62" t="s">
        <v>539</v>
      </c>
      <c r="E160" s="18" t="s">
        <v>93</v>
      </c>
      <c r="F160" s="74" t="str">
        <f>IF(E160="","",VLOOKUP(E160,Causas!$A$2:$B$90,2,FALSE))</f>
        <v>Provocado, no se identifica la motivación</v>
      </c>
      <c r="G160" s="70" t="str">
        <f>IF(E160="","",VLOOKUP(E160,Causas!$A$2:$D$90,3,FALSE()))</f>
        <v>2.1</v>
      </c>
      <c r="H160" s="74" t="str">
        <f>IF(E160="","",VLOOKUP(E160,Causas!$A$2:$D$90,4,FALSE()))</f>
        <v>Incendios intencionales</v>
      </c>
      <c r="I160" s="74" t="str">
        <f>IF(E160="","",VLOOKUP(E160,Causas!$A$2:$E$90,5,FALSE()))</f>
        <v>Intencionales</v>
      </c>
      <c r="J160" s="18">
        <v>248874</v>
      </c>
      <c r="K160" s="18">
        <v>6002322</v>
      </c>
      <c r="L160" s="18">
        <v>0.3</v>
      </c>
      <c r="M160" s="18" t="s">
        <v>680</v>
      </c>
      <c r="N160" s="19" t="s">
        <v>735</v>
      </c>
      <c r="O160" s="31" t="s">
        <v>248</v>
      </c>
      <c r="P160" s="53">
        <v>46019</v>
      </c>
      <c r="Q160" s="40">
        <f t="shared" si="2"/>
        <v>12</v>
      </c>
      <c r="R160" s="40"/>
    </row>
    <row r="161" spans="1:18" x14ac:dyDescent="0.2">
      <c r="A161" s="17">
        <v>160</v>
      </c>
      <c r="B161" s="62" t="s">
        <v>245</v>
      </c>
      <c r="C161" s="18">
        <v>491</v>
      </c>
      <c r="D161" s="62" t="s">
        <v>540</v>
      </c>
      <c r="E161" s="18" t="s">
        <v>21</v>
      </c>
      <c r="F161" s="74" t="str">
        <f>IF(E161="","",VLOOKUP(E161,Causas!$A$2:$B$90,2,FALSE))</f>
        <v>Empleo de fuentes de calor en actividades relacionadas a parcelaciones (asados, tijerales, fogatas, otros)</v>
      </c>
      <c r="G161" s="70" t="str">
        <f>IF(E161="","",VLOOKUP(E161,Causas!$A$2:$D$90,3,FALSE()))</f>
        <v>4.6</v>
      </c>
      <c r="H161" s="74" t="str">
        <f>IF(E161="","",VLOOKUP(E161,Causas!$A$2:$D$90,4,FALSE()))</f>
        <v>Parcelaciones, edificaciones residenciales, industriales u otras en zonas rurales o de interfaz</v>
      </c>
      <c r="I161" s="74" t="str">
        <f>IF(E161="","",VLOOKUP(E161,Causas!$A$2:$E$90,5,FALSE()))</f>
        <v>Negligentes</v>
      </c>
      <c r="J161" s="18">
        <v>769484</v>
      </c>
      <c r="K161" s="18">
        <v>6074148</v>
      </c>
      <c r="L161" s="18">
        <v>0.3</v>
      </c>
      <c r="M161" s="18" t="s">
        <v>680</v>
      </c>
      <c r="N161" s="19" t="s">
        <v>736</v>
      </c>
      <c r="O161" s="31" t="s">
        <v>242</v>
      </c>
      <c r="P161" s="53">
        <v>46062</v>
      </c>
      <c r="Q161" s="40">
        <f t="shared" si="2"/>
        <v>2</v>
      </c>
      <c r="R161" s="40"/>
    </row>
    <row r="162" spans="1:18" x14ac:dyDescent="0.2">
      <c r="A162" s="17">
        <v>161</v>
      </c>
      <c r="B162" s="62" t="s">
        <v>266</v>
      </c>
      <c r="C162" s="18">
        <v>351</v>
      </c>
      <c r="D162" s="62" t="s">
        <v>541</v>
      </c>
      <c r="E162" s="18" t="s">
        <v>207</v>
      </c>
      <c r="F162" s="74" t="str">
        <f>IF(E162="","",VLOOKUP(E162,Causas!$A$2:$B$90,2,FALSE))</f>
        <v>Acciones asociadas a fumar</v>
      </c>
      <c r="G162" s="70" t="str">
        <f>IF(E162="","",VLOOKUP(E162,Causas!$A$2:$D$90,3,FALSE()))</f>
        <v>4.10</v>
      </c>
      <c r="H162" s="74" t="str">
        <f>IF(E162="","",VLOOKUP(E162,Causas!$A$2:$D$90,4,FALSE()))</f>
        <v>Otras causas</v>
      </c>
      <c r="I162" s="74" t="str">
        <f>IF(E162="","",VLOOKUP(E162,Causas!$A$2:$E$90,5,FALSE()))</f>
        <v>Negligentes</v>
      </c>
      <c r="J162" s="18">
        <v>768431</v>
      </c>
      <c r="K162" s="18">
        <v>6118728</v>
      </c>
      <c r="L162" s="18">
        <v>1.6</v>
      </c>
      <c r="M162" s="18" t="s">
        <v>680</v>
      </c>
      <c r="N162" s="19" t="s">
        <v>737</v>
      </c>
      <c r="O162" s="31" t="s">
        <v>242</v>
      </c>
      <c r="P162" s="53">
        <v>46037</v>
      </c>
      <c r="Q162" s="40">
        <f t="shared" si="2"/>
        <v>1</v>
      </c>
      <c r="R162" s="40"/>
    </row>
    <row r="163" spans="1:18" x14ac:dyDescent="0.2">
      <c r="A163" s="17">
        <v>162</v>
      </c>
      <c r="B163" s="62" t="s">
        <v>271</v>
      </c>
      <c r="C163" s="18">
        <v>449</v>
      </c>
      <c r="D163" s="62" t="s">
        <v>542</v>
      </c>
      <c r="E163" s="18" t="s">
        <v>111</v>
      </c>
      <c r="F163" s="74" t="str">
        <f>IF(E163="","",VLOOKUP(E163,Causas!$A$2:$B$90,2,FALSE))</f>
        <v>Caída de rayo</v>
      </c>
      <c r="G163" s="70" t="str">
        <f>IF(E163="","",VLOOKUP(E163,Causas!$A$2:$D$90,3,FALSE()))</f>
        <v>3.1</v>
      </c>
      <c r="H163" s="74" t="str">
        <f>IF(E163="","",VLOOKUP(E163,Causas!$A$2:$D$90,4,FALSE()))</f>
        <v>Incendios naturales</v>
      </c>
      <c r="I163" s="74" t="str">
        <f>IF(E163="","",VLOOKUP(E163,Causas!$A$2:$E$90,5,FALSE()))</f>
        <v>Naturales</v>
      </c>
      <c r="J163" s="18">
        <v>286106</v>
      </c>
      <c r="K163" s="18">
        <v>5963409</v>
      </c>
      <c r="L163" s="18">
        <v>4200</v>
      </c>
      <c r="M163" s="18" t="s">
        <v>680</v>
      </c>
      <c r="N163" s="19" t="s">
        <v>738</v>
      </c>
      <c r="O163" s="31" t="s">
        <v>248</v>
      </c>
      <c r="P163" s="53">
        <v>46052</v>
      </c>
      <c r="Q163" s="40">
        <f t="shared" si="2"/>
        <v>1</v>
      </c>
      <c r="R163" s="40"/>
    </row>
    <row r="164" spans="1:18" x14ac:dyDescent="0.2">
      <c r="A164" s="17">
        <v>163</v>
      </c>
      <c r="B164" s="62" t="s">
        <v>248</v>
      </c>
      <c r="C164" s="18">
        <v>460</v>
      </c>
      <c r="D164" s="62" t="s">
        <v>543</v>
      </c>
      <c r="E164" s="18" t="s">
        <v>111</v>
      </c>
      <c r="F164" s="74" t="str">
        <f>IF(E164="","",VLOOKUP(E164,Causas!$A$2:$B$90,2,FALSE))</f>
        <v>Caída de rayo</v>
      </c>
      <c r="G164" s="70" t="str">
        <f>IF(E164="","",VLOOKUP(E164,Causas!$A$2:$D$90,3,FALSE()))</f>
        <v>3.1</v>
      </c>
      <c r="H164" s="74" t="str">
        <f>IF(E164="","",VLOOKUP(E164,Causas!$A$2:$D$90,4,FALSE()))</f>
        <v>Incendios naturales</v>
      </c>
      <c r="I164" s="74" t="str">
        <f>IF(E164="","",VLOOKUP(E164,Causas!$A$2:$E$90,5,FALSE()))</f>
        <v>Naturales</v>
      </c>
      <c r="J164" s="18">
        <v>296435</v>
      </c>
      <c r="K164" s="18">
        <v>6010648</v>
      </c>
      <c r="L164" s="18">
        <v>1060</v>
      </c>
      <c r="M164" s="18" t="s">
        <v>680</v>
      </c>
      <c r="N164" s="19" t="s">
        <v>739</v>
      </c>
      <c r="O164" s="31" t="s">
        <v>248</v>
      </c>
      <c r="P164" s="53">
        <v>46053</v>
      </c>
      <c r="Q164" s="40">
        <f t="shared" si="2"/>
        <v>1</v>
      </c>
      <c r="R164" s="40"/>
    </row>
    <row r="165" spans="1:18" x14ac:dyDescent="0.2">
      <c r="A165" s="17">
        <v>164</v>
      </c>
      <c r="B165" s="62" t="s">
        <v>257</v>
      </c>
      <c r="C165" s="18">
        <v>251</v>
      </c>
      <c r="D165" s="62" t="s">
        <v>544</v>
      </c>
      <c r="E165" s="18" t="s">
        <v>134</v>
      </c>
      <c r="F165" s="74" t="str">
        <f>IF(E165="","",VLOOKUP(E165,Causas!$A$2:$B$90,2,FALSE))</f>
        <v>Quema no avisada de desechos agrícolas que se propaga libre y sin control</v>
      </c>
      <c r="G165" s="70" t="str">
        <f>IF(E165="","",VLOOKUP(E165,Causas!$A$2:$D$90,3,FALSE()))</f>
        <v>4.2</v>
      </c>
      <c r="H165" s="74" t="str">
        <f>IF(E165="","",VLOOKUP(E165,Causas!$A$2:$D$90,4,FALSE()))</f>
        <v>Faenas agrícolas y pecuarias</v>
      </c>
      <c r="I165" s="74" t="str">
        <f>IF(E165="","",VLOOKUP(E165,Causas!$A$2:$E$90,5,FALSE()))</f>
        <v>Negligentes</v>
      </c>
      <c r="J165" s="18">
        <v>271193</v>
      </c>
      <c r="K165" s="18">
        <v>6096269</v>
      </c>
      <c r="L165" s="18">
        <v>4.5</v>
      </c>
      <c r="M165" s="18" t="s">
        <v>680</v>
      </c>
      <c r="N165" s="19" t="s">
        <v>740</v>
      </c>
      <c r="O165" s="31" t="s">
        <v>242</v>
      </c>
      <c r="P165" s="53">
        <v>46011</v>
      </c>
      <c r="Q165" s="40">
        <f t="shared" si="2"/>
        <v>12</v>
      </c>
      <c r="R165" s="40"/>
    </row>
    <row r="166" spans="1:18" x14ac:dyDescent="0.2">
      <c r="A166" s="17">
        <v>165</v>
      </c>
      <c r="B166" s="62" t="s">
        <v>257</v>
      </c>
      <c r="C166" s="18">
        <v>237</v>
      </c>
      <c r="D166" s="62" t="s">
        <v>545</v>
      </c>
      <c r="E166" s="18" t="s">
        <v>160</v>
      </c>
      <c r="F166" s="74" t="str">
        <f>IF(E166="","",VLOOKUP(E166,Causas!$A$2:$B$90,2,FALSE))</f>
        <v>Rebrote de incendio anterior, declarado extinto</v>
      </c>
      <c r="G166" s="70" t="str">
        <f>IF(E166="","",VLOOKUP(E166,Causas!$A$2:$D$90,3,FALSE()))</f>
        <v>4.5</v>
      </c>
      <c r="H166" s="74" t="str">
        <f>IF(E166="","",VLOOKUP(E166,Causas!$A$2:$D$90,4,FALSE()))</f>
        <v>Actividades de control y extinción de incendios forestales</v>
      </c>
      <c r="I166" s="74" t="str">
        <f>IF(E166="","",VLOOKUP(E166,Causas!$A$2:$E$90,5,FALSE()))</f>
        <v>Negligentes</v>
      </c>
      <c r="J166" s="18">
        <v>271380</v>
      </c>
      <c r="K166" s="18">
        <v>6096615</v>
      </c>
      <c r="L166" s="18">
        <v>0.01</v>
      </c>
      <c r="M166" s="18" t="s">
        <v>680</v>
      </c>
      <c r="N166" s="19" t="s">
        <v>741</v>
      </c>
      <c r="O166" s="31" t="s">
        <v>242</v>
      </c>
      <c r="P166" s="53">
        <v>46009</v>
      </c>
      <c r="Q166" s="40">
        <f t="shared" si="2"/>
        <v>12</v>
      </c>
      <c r="R166" s="40"/>
    </row>
    <row r="167" spans="1:18" x14ac:dyDescent="0.2">
      <c r="A167" s="17">
        <v>166</v>
      </c>
      <c r="B167" s="62" t="s">
        <v>257</v>
      </c>
      <c r="C167" s="18">
        <v>277</v>
      </c>
      <c r="D167" s="62" t="s">
        <v>546</v>
      </c>
      <c r="E167" s="18" t="s">
        <v>223</v>
      </c>
      <c r="F167" s="74" t="str">
        <f>IF(E167="","",VLOOKUP(E167,Causas!$A$2:$B$90,2,FALSE))</f>
        <v>Otras actividades negligentes no clasificadas</v>
      </c>
      <c r="G167" s="70" t="str">
        <f>IF(E167="","",VLOOKUP(E167,Causas!$A$2:$D$90,3,FALSE()))</f>
        <v>4.10</v>
      </c>
      <c r="H167" s="74" t="str">
        <f>IF(E167="","",VLOOKUP(E167,Causas!$A$2:$D$90,4,FALSE()))</f>
        <v>Otras causas</v>
      </c>
      <c r="I167" s="74" t="str">
        <f>IF(E167="","",VLOOKUP(E167,Causas!$A$2:$E$90,5,FALSE()))</f>
        <v>Negligentes</v>
      </c>
      <c r="J167" s="18">
        <v>271329</v>
      </c>
      <c r="K167" s="18">
        <v>6096722</v>
      </c>
      <c r="L167" s="18">
        <v>1.4</v>
      </c>
      <c r="M167" s="18" t="s">
        <v>680</v>
      </c>
      <c r="N167" s="19" t="s">
        <v>742</v>
      </c>
      <c r="O167" s="31" t="s">
        <v>242</v>
      </c>
      <c r="P167" s="53">
        <v>46016</v>
      </c>
      <c r="Q167" s="40">
        <f t="shared" si="2"/>
        <v>12</v>
      </c>
      <c r="R167" s="40"/>
    </row>
    <row r="168" spans="1:18" x14ac:dyDescent="0.2">
      <c r="A168" s="17">
        <v>167</v>
      </c>
      <c r="B168" s="64" t="s">
        <v>254</v>
      </c>
      <c r="C168" s="18">
        <v>569</v>
      </c>
      <c r="D168" s="62" t="s">
        <v>547</v>
      </c>
      <c r="E168" s="18" t="s">
        <v>148</v>
      </c>
      <c r="F168" s="74" t="str">
        <f>IF(E168="","",VLOOKUP(E168,Causas!$A$2:$B$90,2,FALSE))</f>
        <v>Otras causas negligentes no clasificadas en faenas agrícolas y pecuarias</v>
      </c>
      <c r="G168" s="70" t="str">
        <f>IF(E168="","",VLOOKUP(E168,Causas!$A$2:$D$90,3,FALSE()))</f>
        <v>4.2</v>
      </c>
      <c r="H168" s="74" t="str">
        <f>IF(E168="","",VLOOKUP(E168,Causas!$A$2:$D$90,4,FALSE()))</f>
        <v>Faenas agrícolas y pecuarias</v>
      </c>
      <c r="I168" s="74" t="str">
        <f>IF(E168="","",VLOOKUP(E168,Causas!$A$2:$E$90,5,FALSE()))</f>
        <v>Negligentes</v>
      </c>
      <c r="J168" s="18">
        <v>244899</v>
      </c>
      <c r="K168" s="18">
        <v>6056177</v>
      </c>
      <c r="L168" s="18">
        <v>3</v>
      </c>
      <c r="M168" s="18" t="s">
        <v>680</v>
      </c>
      <c r="N168" s="19" t="s">
        <v>743</v>
      </c>
      <c r="O168" s="31" t="s">
        <v>248</v>
      </c>
      <c r="P168" s="53">
        <v>46079</v>
      </c>
      <c r="Q168" s="40">
        <f t="shared" si="2"/>
        <v>2</v>
      </c>
      <c r="R168" s="40"/>
    </row>
    <row r="169" spans="1:18" x14ac:dyDescent="0.2">
      <c r="A169" s="17">
        <v>168</v>
      </c>
      <c r="B169" s="65" t="s">
        <v>269</v>
      </c>
      <c r="C169" s="20">
        <v>224</v>
      </c>
      <c r="D169" s="63" t="s">
        <v>548</v>
      </c>
      <c r="E169" s="18" t="s">
        <v>25</v>
      </c>
      <c r="F169" s="74" t="str">
        <f>IF(E169="","",VLOOKUP(E169,Causas!$A$2:$B$90,2,FALSE))</f>
        <v>Quema de basura residencial o desechos vegetales</v>
      </c>
      <c r="G169" s="70" t="str">
        <f>IF(E169="","",VLOOKUP(E169,Causas!$A$2:$D$90,3,FALSE()))</f>
        <v>4.8</v>
      </c>
      <c r="H169" s="74" t="str">
        <f>IF(E169="","",VLOOKUP(E169,Causas!$A$2:$D$90,4,FALSE()))</f>
        <v>Otras quemas</v>
      </c>
      <c r="I169" s="74" t="str">
        <f>IF(E169="","",VLOOKUP(E169,Causas!$A$2:$E$90,5,FALSE()))</f>
        <v>Negligentes</v>
      </c>
      <c r="J169" s="18">
        <v>301430</v>
      </c>
      <c r="K169" s="18">
        <v>6136159</v>
      </c>
      <c r="L169" s="18">
        <v>5</v>
      </c>
      <c r="M169" s="18" t="s">
        <v>680</v>
      </c>
      <c r="N169" s="19" t="s">
        <v>744</v>
      </c>
      <c r="O169" s="31" t="s">
        <v>253</v>
      </c>
      <c r="P169" s="53">
        <v>46007</v>
      </c>
      <c r="Q169" s="40">
        <f t="shared" si="2"/>
        <v>12</v>
      </c>
      <c r="R169" s="40"/>
    </row>
    <row r="170" spans="1:18" x14ac:dyDescent="0.2">
      <c r="A170" s="17">
        <v>169</v>
      </c>
      <c r="B170" s="65" t="s">
        <v>269</v>
      </c>
      <c r="C170" s="20">
        <v>318</v>
      </c>
      <c r="D170" s="62" t="s">
        <v>549</v>
      </c>
      <c r="E170" s="18" t="s">
        <v>25</v>
      </c>
      <c r="F170" s="74" t="str">
        <f>IF(E170="","",VLOOKUP(E170,Causas!$A$2:$B$90,2,FALSE))</f>
        <v>Quema de basura residencial o desechos vegetales</v>
      </c>
      <c r="G170" s="70" t="str">
        <f>IF(E170="","",VLOOKUP(E170,Causas!$A$2:$D$90,3,FALSE()))</f>
        <v>4.8</v>
      </c>
      <c r="H170" s="74" t="str">
        <f>IF(E170="","",VLOOKUP(E170,Causas!$A$2:$D$90,4,FALSE()))</f>
        <v>Otras quemas</v>
      </c>
      <c r="I170" s="74" t="str">
        <f>IF(E170="","",VLOOKUP(E170,Causas!$A$2:$E$90,5,FALSE()))</f>
        <v>Negligentes</v>
      </c>
      <c r="J170" s="18">
        <v>301902</v>
      </c>
      <c r="K170" s="18">
        <v>6136003</v>
      </c>
      <c r="L170" s="18">
        <v>0.8</v>
      </c>
      <c r="M170" s="18" t="s">
        <v>680</v>
      </c>
      <c r="N170" s="19" t="s">
        <v>745</v>
      </c>
      <c r="O170" s="31" t="s">
        <v>253</v>
      </c>
      <c r="P170" s="53">
        <v>46025</v>
      </c>
      <c r="Q170" s="40">
        <f t="shared" si="2"/>
        <v>1</v>
      </c>
      <c r="R170" s="40"/>
    </row>
    <row r="171" spans="1:18" x14ac:dyDescent="0.2">
      <c r="A171" s="17">
        <v>170</v>
      </c>
      <c r="B171" s="72" t="s">
        <v>258</v>
      </c>
      <c r="C171" s="20">
        <v>434</v>
      </c>
      <c r="D171" s="62" t="s">
        <v>550</v>
      </c>
      <c r="E171" s="18" t="s">
        <v>148</v>
      </c>
      <c r="F171" s="74" t="str">
        <f>IF(E171="","",VLOOKUP(E171,Causas!$A$2:$B$90,2,FALSE))</f>
        <v>Otras causas negligentes no clasificadas en faenas agrícolas y pecuarias</v>
      </c>
      <c r="G171" s="70" t="str">
        <f>IF(E171="","",VLOOKUP(E171,Causas!$A$2:$D$90,3,FALSE()))</f>
        <v>4.2</v>
      </c>
      <c r="H171" s="74" t="str">
        <f>IF(E171="","",VLOOKUP(E171,Causas!$A$2:$D$90,4,FALSE()))</f>
        <v>Faenas agrícolas y pecuarias</v>
      </c>
      <c r="I171" s="74" t="str">
        <f>IF(E171="","",VLOOKUP(E171,Causas!$A$2:$E$90,5,FALSE()))</f>
        <v>Negligentes</v>
      </c>
      <c r="J171" s="18">
        <v>260110</v>
      </c>
      <c r="K171" s="18">
        <v>5989217</v>
      </c>
      <c r="L171" s="18">
        <v>37</v>
      </c>
      <c r="M171" s="18" t="s">
        <v>680</v>
      </c>
      <c r="N171" s="19" t="s">
        <v>746</v>
      </c>
      <c r="O171" s="31" t="s">
        <v>248</v>
      </c>
      <c r="P171" s="53">
        <v>46048</v>
      </c>
      <c r="Q171" s="40">
        <f t="shared" si="2"/>
        <v>1</v>
      </c>
      <c r="R171" s="40"/>
    </row>
    <row r="172" spans="1:18" x14ac:dyDescent="0.2">
      <c r="A172" s="17">
        <v>171</v>
      </c>
      <c r="B172" s="72" t="s">
        <v>258</v>
      </c>
      <c r="C172" s="20">
        <v>495</v>
      </c>
      <c r="D172" s="62" t="s">
        <v>551</v>
      </c>
      <c r="E172" s="18" t="s">
        <v>20</v>
      </c>
      <c r="F172" s="74" t="str">
        <f>IF(E172="","",VLOOKUP(E172,Causas!$A$2:$B$90,2,FALSE))</f>
        <v>Empleo de fuentes de calor en faena de extracción y/o confección de leña no industrial</v>
      </c>
      <c r="G172" s="70" t="str">
        <f>IF(E172="","",VLOOKUP(E172,Causas!$A$2:$D$90,3,FALSE()))</f>
        <v>4.11</v>
      </c>
      <c r="H172" s="74" t="str">
        <f>IF(E172="","",VLOOKUP(E172,Causas!$A$2:$D$90,4,FALSE()))</f>
        <v>Producción y/o extracción de productos y/o derivados del bosque</v>
      </c>
      <c r="I172" s="74" t="str">
        <f>IF(E172="","",VLOOKUP(E172,Causas!$A$2:$E$90,5,FALSE()))</f>
        <v>Negligentes</v>
      </c>
      <c r="J172" s="18">
        <v>260631</v>
      </c>
      <c r="K172" s="18">
        <v>5989014</v>
      </c>
      <c r="L172" s="18">
        <v>0.2</v>
      </c>
      <c r="M172" s="18" t="s">
        <v>680</v>
      </c>
      <c r="N172" s="19" t="s">
        <v>747</v>
      </c>
      <c r="O172" s="31" t="s">
        <v>248</v>
      </c>
      <c r="P172" s="53">
        <v>46063</v>
      </c>
      <c r="Q172" s="40">
        <f t="shared" si="2"/>
        <v>2</v>
      </c>
      <c r="R172" s="40"/>
    </row>
    <row r="173" spans="1:18" x14ac:dyDescent="0.2">
      <c r="A173" s="17">
        <v>172</v>
      </c>
      <c r="B173" s="65" t="s">
        <v>272</v>
      </c>
      <c r="C173" s="20">
        <v>601</v>
      </c>
      <c r="D173" s="62" t="s">
        <v>552</v>
      </c>
      <c r="E173" s="18" t="s">
        <v>134</v>
      </c>
      <c r="F173" s="74" t="str">
        <f>IF(E173="","",VLOOKUP(E173,Causas!$A$2:$B$90,2,FALSE))</f>
        <v>Quema no avisada de desechos agrícolas que se propaga libre y sin control</v>
      </c>
      <c r="G173" s="70" t="str">
        <f>IF(E173="","",VLOOKUP(E173,Causas!$A$2:$D$90,3,FALSE()))</f>
        <v>4.2</v>
      </c>
      <c r="H173" s="74" t="str">
        <f>IF(E173="","",VLOOKUP(E173,Causas!$A$2:$D$90,4,FALSE()))</f>
        <v>Faenas agrícolas y pecuarias</v>
      </c>
      <c r="I173" s="74" t="str">
        <f>IF(E173="","",VLOOKUP(E173,Causas!$A$2:$E$90,5,FALSE()))</f>
        <v>Negligentes</v>
      </c>
      <c r="J173" s="18">
        <v>255639</v>
      </c>
      <c r="K173" s="18">
        <v>6047346</v>
      </c>
      <c r="L173" s="18">
        <v>0.5</v>
      </c>
      <c r="M173" s="18" t="s">
        <v>680</v>
      </c>
      <c r="N173" s="19" t="s">
        <v>748</v>
      </c>
      <c r="O173" s="31" t="s">
        <v>248</v>
      </c>
      <c r="P173" s="53">
        <v>46089</v>
      </c>
      <c r="Q173" s="40">
        <f t="shared" si="2"/>
        <v>3</v>
      </c>
      <c r="R173" s="40"/>
    </row>
    <row r="174" spans="1:18" x14ac:dyDescent="0.2">
      <c r="A174" s="17">
        <v>173</v>
      </c>
      <c r="B174" s="73" t="s">
        <v>247</v>
      </c>
      <c r="C174" s="18">
        <v>599</v>
      </c>
      <c r="D174" s="62" t="s">
        <v>553</v>
      </c>
      <c r="E174" s="18" t="s">
        <v>20</v>
      </c>
      <c r="F174" s="74" t="str">
        <f>IF(E174="","",VLOOKUP(E174,Causas!$A$2:$B$90,2,FALSE))</f>
        <v>Empleo de fuentes de calor en faena de extracción y/o confección de leña no industrial</v>
      </c>
      <c r="G174" s="70" t="str">
        <f>IF(E174="","",VLOOKUP(E174,Causas!$A$2:$D$90,3,FALSE()))</f>
        <v>4.11</v>
      </c>
      <c r="H174" s="74" t="str">
        <f>IF(E174="","",VLOOKUP(E174,Causas!$A$2:$D$90,4,FALSE()))</f>
        <v>Producción y/o extracción de productos y/o derivados del bosque</v>
      </c>
      <c r="I174" s="74" t="str">
        <f>IF(E174="","",VLOOKUP(E174,Causas!$A$2:$E$90,5,FALSE()))</f>
        <v>Negligentes</v>
      </c>
      <c r="J174" s="18">
        <v>257306</v>
      </c>
      <c r="K174" s="18">
        <v>6011924</v>
      </c>
      <c r="L174" s="18">
        <v>3.1</v>
      </c>
      <c r="M174" s="18" t="s">
        <v>680</v>
      </c>
      <c r="N174" s="19" t="s">
        <v>749</v>
      </c>
      <c r="O174" s="31" t="s">
        <v>248</v>
      </c>
      <c r="P174" s="53">
        <v>46088</v>
      </c>
      <c r="Q174" s="40">
        <f t="shared" si="2"/>
        <v>3</v>
      </c>
      <c r="R174" s="40"/>
    </row>
    <row r="175" spans="1:18" x14ac:dyDescent="0.2">
      <c r="A175" s="17">
        <v>174</v>
      </c>
      <c r="B175" s="62" t="s">
        <v>247</v>
      </c>
      <c r="C175" s="18">
        <v>363</v>
      </c>
      <c r="D175" s="62" t="s">
        <v>554</v>
      </c>
      <c r="E175" s="18" t="s">
        <v>136</v>
      </c>
      <c r="F175" s="74" t="str">
        <f>IF(E175="","",VLOOKUP(E175,Causas!$A$2:$B$90,2,FALSE))</f>
        <v>Incendio de maquinaria agrícola (desperfecto, falta de mantención, otros)</v>
      </c>
      <c r="G175" s="70" t="str">
        <f>IF(E175="","",VLOOKUP(E175,Causas!$A$2:$D$90,3,FALSE()))</f>
        <v>4.2</v>
      </c>
      <c r="H175" s="74" t="str">
        <f>IF(E175="","",VLOOKUP(E175,Causas!$A$2:$D$90,4,FALSE()))</f>
        <v>Faenas agrícolas y pecuarias</v>
      </c>
      <c r="I175" s="74" t="str">
        <f>IF(E175="","",VLOOKUP(E175,Causas!$A$2:$E$90,5,FALSE()))</f>
        <v>Negligentes</v>
      </c>
      <c r="J175" s="18">
        <v>260291</v>
      </c>
      <c r="K175" s="18">
        <v>6026226</v>
      </c>
      <c r="L175" s="18">
        <v>1.7</v>
      </c>
      <c r="M175" s="18" t="s">
        <v>680</v>
      </c>
      <c r="N175" s="19" t="s">
        <v>750</v>
      </c>
      <c r="O175" s="31" t="s">
        <v>248</v>
      </c>
      <c r="P175" s="53">
        <v>46035</v>
      </c>
      <c r="Q175" s="40">
        <f t="shared" si="2"/>
        <v>1</v>
      </c>
      <c r="R175" s="40"/>
    </row>
    <row r="176" spans="1:18" x14ac:dyDescent="0.2">
      <c r="A176" s="17">
        <v>175</v>
      </c>
      <c r="B176" s="62" t="s">
        <v>271</v>
      </c>
      <c r="C176" s="18">
        <v>441</v>
      </c>
      <c r="D176" s="62" t="s">
        <v>555</v>
      </c>
      <c r="E176" s="18" t="s">
        <v>189</v>
      </c>
      <c r="F176" s="74" t="str">
        <f>IF(E176="","",VLOOKUP(E176,Causas!$A$2:$B$90,2,FALSE))</f>
        <v>Combustión de la vegetación, producto del contacto o proximidad con el tendido eléctrico</v>
      </c>
      <c r="G176" s="70" t="str">
        <f>IF(E176="","",VLOOKUP(E176,Causas!$A$2:$D$90,3,FALSE()))</f>
        <v>4.9</v>
      </c>
      <c r="H176" s="74" t="str">
        <f>IF(E176="","",VLOOKUP(E176,Causas!$A$2:$D$90,4,FALSE()))</f>
        <v>Líneas eléctricas</v>
      </c>
      <c r="I176" s="74" t="str">
        <f>IF(E176="","",VLOOKUP(E176,Causas!$A$2:$E$90,5,FALSE()))</f>
        <v>Negligentes</v>
      </c>
      <c r="J176" s="18">
        <v>254189</v>
      </c>
      <c r="K176" s="18">
        <v>5983861</v>
      </c>
      <c r="L176" s="18">
        <v>8.5</v>
      </c>
      <c r="M176" s="18" t="s">
        <v>680</v>
      </c>
      <c r="N176" s="19" t="s">
        <v>751</v>
      </c>
      <c r="O176" s="31" t="s">
        <v>248</v>
      </c>
      <c r="P176" s="53">
        <v>46050</v>
      </c>
      <c r="Q176" s="40">
        <f t="shared" si="2"/>
        <v>1</v>
      </c>
      <c r="R176" s="40"/>
    </row>
    <row r="177" spans="1:18" x14ac:dyDescent="0.2">
      <c r="A177" s="17">
        <v>176</v>
      </c>
      <c r="B177" s="62" t="s">
        <v>271</v>
      </c>
      <c r="C177" s="18">
        <v>522</v>
      </c>
      <c r="D177" s="62" t="s">
        <v>556</v>
      </c>
      <c r="E177" s="18" t="s">
        <v>26</v>
      </c>
      <c r="F177" s="74" t="e">
        <f>IF(E177="","",VLOOKUP(E177,Causas!$A$2:$B$90,2,FALSE))</f>
        <v>#N/A</v>
      </c>
      <c r="G177" s="70" t="s">
        <v>26</v>
      </c>
      <c r="H177" s="74" t="s">
        <v>68</v>
      </c>
      <c r="I177" s="74" t="s">
        <v>121</v>
      </c>
      <c r="J177" s="18">
        <v>248849</v>
      </c>
      <c r="K177" s="18">
        <v>5984249</v>
      </c>
      <c r="L177" s="18">
        <v>3.6</v>
      </c>
      <c r="M177" s="18" t="s">
        <v>680</v>
      </c>
      <c r="N177" s="19" t="s">
        <v>752</v>
      </c>
      <c r="O177" s="31" t="s">
        <v>248</v>
      </c>
      <c r="P177" s="53">
        <v>46067</v>
      </c>
      <c r="Q177" s="40">
        <f t="shared" si="2"/>
        <v>2</v>
      </c>
      <c r="R177" s="40"/>
    </row>
    <row r="178" spans="1:18" x14ac:dyDescent="0.2">
      <c r="A178" s="17">
        <v>177</v>
      </c>
      <c r="B178" s="62" t="s">
        <v>269</v>
      </c>
      <c r="C178" s="18">
        <v>597</v>
      </c>
      <c r="D178" s="62" t="s">
        <v>557</v>
      </c>
      <c r="E178" s="18" t="s">
        <v>25</v>
      </c>
      <c r="F178" s="74" t="str">
        <f>IF(E178="","",VLOOKUP(E178,Causas!$A$2:$B$90,2,FALSE))</f>
        <v>Quema de basura residencial o desechos vegetales</v>
      </c>
      <c r="G178" s="70" t="str">
        <f>IF(E178="","",VLOOKUP(E178,Causas!$A$2:$D$90,3,FALSE()))</f>
        <v>4.8</v>
      </c>
      <c r="H178" s="74" t="str">
        <f>IF(E178="","",VLOOKUP(E178,Causas!$A$2:$D$90,4,FALSE()))</f>
        <v>Otras quemas</v>
      </c>
      <c r="I178" s="74" t="str">
        <f>IF(E178="","",VLOOKUP(E178,Causas!$A$2:$E$90,5,FALSE()))</f>
        <v>Negligentes</v>
      </c>
      <c r="J178" s="18">
        <v>303301</v>
      </c>
      <c r="K178" s="18">
        <v>6135818</v>
      </c>
      <c r="L178" s="18">
        <v>0.5</v>
      </c>
      <c r="M178" s="18" t="s">
        <v>680</v>
      </c>
      <c r="N178" s="19" t="s">
        <v>753</v>
      </c>
      <c r="O178" s="31" t="s">
        <v>253</v>
      </c>
      <c r="P178" s="53">
        <v>46088</v>
      </c>
      <c r="Q178" s="40">
        <f t="shared" si="2"/>
        <v>3</v>
      </c>
      <c r="R178" s="40"/>
    </row>
    <row r="179" spans="1:18" x14ac:dyDescent="0.2">
      <c r="A179" s="17">
        <v>178</v>
      </c>
      <c r="B179" s="62" t="s">
        <v>269</v>
      </c>
      <c r="C179" s="18">
        <v>554</v>
      </c>
      <c r="D179" s="62" t="s">
        <v>558</v>
      </c>
      <c r="E179" s="18" t="s">
        <v>25</v>
      </c>
      <c r="F179" s="74" t="str">
        <f>IF(E179="","",VLOOKUP(E179,Causas!$A$2:$B$90,2,FALSE))</f>
        <v>Quema de basura residencial o desechos vegetales</v>
      </c>
      <c r="G179" s="70" t="str">
        <f>IF(E179="","",VLOOKUP(E179,Causas!$A$2:$D$90,3,FALSE()))</f>
        <v>4.8</v>
      </c>
      <c r="H179" s="74" t="str">
        <f>IF(E179="","",VLOOKUP(E179,Causas!$A$2:$D$90,4,FALSE()))</f>
        <v>Otras quemas</v>
      </c>
      <c r="I179" s="74" t="str">
        <f>IF(E179="","",VLOOKUP(E179,Causas!$A$2:$E$90,5,FALSE()))</f>
        <v>Negligentes</v>
      </c>
      <c r="J179" s="18">
        <v>304512</v>
      </c>
      <c r="K179" s="18">
        <v>6135469</v>
      </c>
      <c r="L179" s="18">
        <v>0.2</v>
      </c>
      <c r="M179" s="18" t="s">
        <v>680</v>
      </c>
      <c r="N179" s="19" t="s">
        <v>754</v>
      </c>
      <c r="O179" s="31" t="s">
        <v>253</v>
      </c>
      <c r="P179" s="53">
        <v>46077</v>
      </c>
      <c r="Q179" s="40">
        <f t="shared" si="2"/>
        <v>2</v>
      </c>
      <c r="R179" s="40"/>
    </row>
    <row r="180" spans="1:18" x14ac:dyDescent="0.2">
      <c r="A180" s="17">
        <v>179</v>
      </c>
      <c r="B180" s="62" t="s">
        <v>253</v>
      </c>
      <c r="C180" s="18">
        <v>550</v>
      </c>
      <c r="D180" s="62" t="s">
        <v>559</v>
      </c>
      <c r="E180" s="18" t="s">
        <v>207</v>
      </c>
      <c r="F180" s="74" t="str">
        <f>IF(E180="","",VLOOKUP(E180,Causas!$A$2:$B$90,2,FALSE))</f>
        <v>Acciones asociadas a fumar</v>
      </c>
      <c r="G180" s="70" t="str">
        <f>IF(E180="","",VLOOKUP(E180,Causas!$A$2:$D$90,3,FALSE()))</f>
        <v>4.10</v>
      </c>
      <c r="H180" s="74" t="str">
        <f>IF(E180="","",VLOOKUP(E180,Causas!$A$2:$D$90,4,FALSE()))</f>
        <v>Otras causas</v>
      </c>
      <c r="I180" s="74" t="str">
        <f>IF(E180="","",VLOOKUP(E180,Causas!$A$2:$E$90,5,FALSE()))</f>
        <v>Negligentes</v>
      </c>
      <c r="J180" s="18">
        <v>299286</v>
      </c>
      <c r="K180" s="18">
        <v>6135437</v>
      </c>
      <c r="L180" s="18">
        <v>1.1000000000000001</v>
      </c>
      <c r="M180" s="18" t="s">
        <v>680</v>
      </c>
      <c r="N180" s="19" t="s">
        <v>755</v>
      </c>
      <c r="O180" s="31" t="s">
        <v>253</v>
      </c>
      <c r="P180" s="53">
        <v>46076</v>
      </c>
      <c r="Q180" s="40">
        <f t="shared" si="2"/>
        <v>2</v>
      </c>
      <c r="R180" s="40"/>
    </row>
    <row r="181" spans="1:18" x14ac:dyDescent="0.2">
      <c r="A181" s="17">
        <v>180</v>
      </c>
      <c r="B181" s="62" t="s">
        <v>245</v>
      </c>
      <c r="C181" s="18">
        <v>584</v>
      </c>
      <c r="D181" s="62" t="s">
        <v>560</v>
      </c>
      <c r="E181" s="18" t="s">
        <v>223</v>
      </c>
      <c r="F181" s="74" t="str">
        <f>IF(E181="","",VLOOKUP(E181,Causas!$A$2:$B$90,2,FALSE))</f>
        <v>Otras actividades negligentes no clasificadas</v>
      </c>
      <c r="G181" s="70" t="str">
        <f>IF(E181="","",VLOOKUP(E181,Causas!$A$2:$D$90,3,FALSE()))</f>
        <v>4.10</v>
      </c>
      <c r="H181" s="74" t="str">
        <f>IF(E181="","",VLOOKUP(E181,Causas!$A$2:$D$90,4,FALSE()))</f>
        <v>Otras causas</v>
      </c>
      <c r="I181" s="74" t="str">
        <f>IF(E181="","",VLOOKUP(E181,Causas!$A$2:$E$90,5,FALSE()))</f>
        <v>Negligentes</v>
      </c>
      <c r="J181" s="18">
        <v>253704</v>
      </c>
      <c r="K181" s="18">
        <v>6076689</v>
      </c>
      <c r="L181" s="18">
        <v>0.3</v>
      </c>
      <c r="M181" s="18" t="s">
        <v>680</v>
      </c>
      <c r="N181" s="19" t="s">
        <v>756</v>
      </c>
      <c r="O181" s="31" t="s">
        <v>242</v>
      </c>
      <c r="P181" s="53">
        <v>46084</v>
      </c>
      <c r="Q181" s="40">
        <f t="shared" si="2"/>
        <v>3</v>
      </c>
      <c r="R181" s="40"/>
    </row>
    <row r="182" spans="1:18" x14ac:dyDescent="0.2">
      <c r="A182" s="17">
        <v>181</v>
      </c>
      <c r="B182" s="62" t="s">
        <v>242</v>
      </c>
      <c r="C182" s="18">
        <v>608</v>
      </c>
      <c r="D182" s="62" t="s">
        <v>561</v>
      </c>
      <c r="E182" s="18" t="s">
        <v>187</v>
      </c>
      <c r="F182" s="74" t="str">
        <f>IF(E182="","",VLOOKUP(E182,Causas!$A$2:$B$90,2,FALSE))</f>
        <v>Empleo de fuentes de calor en vertederos o basurales</v>
      </c>
      <c r="G182" s="70" t="str">
        <f>IF(E182="","",VLOOKUP(E182,Causas!$A$2:$D$90,3,FALSE()))</f>
        <v>4.8</v>
      </c>
      <c r="H182" s="74" t="str">
        <f>IF(E182="","",VLOOKUP(E182,Causas!$A$2:$D$90,4,FALSE()))</f>
        <v>Otras quemas</v>
      </c>
      <c r="I182" s="74" t="str">
        <f>IF(E182="","",VLOOKUP(E182,Causas!$A$2:$E$90,5,FALSE()))</f>
        <v>Negligentes</v>
      </c>
      <c r="J182" s="18">
        <v>256727</v>
      </c>
      <c r="K182" s="18">
        <v>6078284</v>
      </c>
      <c r="L182" s="18">
        <v>0.25</v>
      </c>
      <c r="M182" s="18" t="s">
        <v>680</v>
      </c>
      <c r="N182" s="19" t="s">
        <v>757</v>
      </c>
      <c r="O182" s="31" t="s">
        <v>242</v>
      </c>
      <c r="P182" s="53">
        <v>46092</v>
      </c>
      <c r="Q182" s="40">
        <f t="shared" si="2"/>
        <v>3</v>
      </c>
      <c r="R182" s="40"/>
    </row>
    <row r="183" spans="1:18" x14ac:dyDescent="0.2">
      <c r="A183" s="17">
        <v>182</v>
      </c>
      <c r="B183" s="62" t="s">
        <v>272</v>
      </c>
      <c r="C183" s="18">
        <v>607</v>
      </c>
      <c r="D183" s="62" t="s">
        <v>562</v>
      </c>
      <c r="E183" s="18" t="s">
        <v>25</v>
      </c>
      <c r="F183" s="74" t="str">
        <f>IF(E183="","",VLOOKUP(E183,Causas!$A$2:$B$90,2,FALSE))</f>
        <v>Quema de basura residencial o desechos vegetales</v>
      </c>
      <c r="G183" s="70" t="str">
        <f>IF(E183="","",VLOOKUP(E183,Causas!$A$2:$D$90,3,FALSE()))</f>
        <v>4.8</v>
      </c>
      <c r="H183" s="74" t="str">
        <f>IF(E183="","",VLOOKUP(E183,Causas!$A$2:$D$90,4,FALSE()))</f>
        <v>Otras quemas</v>
      </c>
      <c r="I183" s="74" t="str">
        <f>IF(E183="","",VLOOKUP(E183,Causas!$A$2:$E$90,5,FALSE()))</f>
        <v>Negligentes</v>
      </c>
      <c r="J183" s="18">
        <v>253342</v>
      </c>
      <c r="K183" s="18">
        <v>6046113</v>
      </c>
      <c r="L183" s="18">
        <v>12</v>
      </c>
      <c r="M183" s="18" t="s">
        <v>680</v>
      </c>
      <c r="N183" s="19" t="s">
        <v>758</v>
      </c>
      <c r="O183" s="31" t="s">
        <v>248</v>
      </c>
      <c r="P183" s="53">
        <v>46092</v>
      </c>
      <c r="Q183" s="40">
        <f t="shared" si="2"/>
        <v>3</v>
      </c>
      <c r="R183" s="40"/>
    </row>
    <row r="184" spans="1:18" x14ac:dyDescent="0.2">
      <c r="A184" s="17">
        <v>183</v>
      </c>
      <c r="B184" s="62" t="s">
        <v>258</v>
      </c>
      <c r="C184" s="18">
        <v>609</v>
      </c>
      <c r="D184" s="62" t="s">
        <v>563</v>
      </c>
      <c r="E184" s="18" t="s">
        <v>21</v>
      </c>
      <c r="F184" s="74" t="str">
        <f>IF(E184="","",VLOOKUP(E184,Causas!$A$2:$B$90,2,FALSE))</f>
        <v>Empleo de fuentes de calor en actividades relacionadas a parcelaciones (asados, tijerales, fogatas, otros)</v>
      </c>
      <c r="G184" s="70" t="str">
        <f>IF(E184="","",VLOOKUP(E184,Causas!$A$2:$D$90,3,FALSE()))</f>
        <v>4.6</v>
      </c>
      <c r="H184" s="74" t="str">
        <f>IF(E184="","",VLOOKUP(E184,Causas!$A$2:$D$90,4,FALSE()))</f>
        <v>Parcelaciones, edificaciones residenciales, industriales u otras en zonas rurales o de interfaz</v>
      </c>
      <c r="I184" s="74" t="str">
        <f>IF(E184="","",VLOOKUP(E184,Causas!$A$2:$E$90,5,FALSE()))</f>
        <v>Negligentes</v>
      </c>
      <c r="J184" s="18">
        <v>241078</v>
      </c>
      <c r="K184" s="18">
        <v>6018031</v>
      </c>
      <c r="L184" s="18">
        <v>16</v>
      </c>
      <c r="M184" s="18" t="s">
        <v>680</v>
      </c>
      <c r="N184" s="19" t="s">
        <v>759</v>
      </c>
      <c r="O184" s="31" t="s">
        <v>248</v>
      </c>
      <c r="P184" s="53">
        <v>46092</v>
      </c>
      <c r="Q184" s="40">
        <f t="shared" si="2"/>
        <v>3</v>
      </c>
      <c r="R184" s="40"/>
    </row>
    <row r="185" spans="1:18" x14ac:dyDescent="0.2">
      <c r="A185" s="17">
        <v>184</v>
      </c>
      <c r="B185" s="62" t="s">
        <v>257</v>
      </c>
      <c r="C185" s="18">
        <v>606</v>
      </c>
      <c r="D185" s="62" t="s">
        <v>564</v>
      </c>
      <c r="E185" s="18" t="s">
        <v>194</v>
      </c>
      <c r="F185" s="74" t="str">
        <f>IF(E185="","",VLOOKUP(E185,Causas!$A$2:$B$90,2,FALSE))</f>
        <v>Corte de conductor eléctrico por caída o fatiga de estructura de tendido eléctrico o postación</v>
      </c>
      <c r="G185" s="70" t="str">
        <f>IF(E185="","",VLOOKUP(E185,Causas!$A$2:$D$90,3,FALSE()))</f>
        <v>4.9</v>
      </c>
      <c r="H185" s="74" t="str">
        <f>IF(E185="","",VLOOKUP(E185,Causas!$A$2:$D$90,4,FALSE()))</f>
        <v>Líneas eléctricas</v>
      </c>
      <c r="I185" s="74" t="str">
        <f>IF(E185="","",VLOOKUP(E185,Causas!$A$2:$E$90,5,FALSE()))</f>
        <v>Negligentes</v>
      </c>
      <c r="J185" s="18">
        <v>268198</v>
      </c>
      <c r="K185" s="18">
        <v>6092679</v>
      </c>
      <c r="L185" s="18">
        <v>4</v>
      </c>
      <c r="M185" s="18" t="s">
        <v>680</v>
      </c>
      <c r="N185" s="19" t="s">
        <v>760</v>
      </c>
      <c r="O185" s="31" t="s">
        <v>242</v>
      </c>
      <c r="P185" s="53">
        <v>46092</v>
      </c>
      <c r="Q185" s="40">
        <f t="shared" si="2"/>
        <v>3</v>
      </c>
      <c r="R185" s="40"/>
    </row>
    <row r="186" spans="1:18" x14ac:dyDescent="0.2">
      <c r="A186" s="17">
        <v>185</v>
      </c>
      <c r="B186" s="62" t="s">
        <v>257</v>
      </c>
      <c r="C186" s="18">
        <v>596</v>
      </c>
      <c r="D186" s="62" t="s">
        <v>565</v>
      </c>
      <c r="E186" s="18" t="s">
        <v>233</v>
      </c>
      <c r="F186" s="74" t="str">
        <f>IF(E186="","",VLOOKUP(E186,Causas!$A$2:$B$90,2,FALSE))</f>
        <v>Se investiga pero no es posible establecer la causa</v>
      </c>
      <c r="G186" s="70" t="str">
        <f>IF(E186="","",VLOOKUP(E186,Causas!$A$2:$D$90,3,FALSE()))</f>
        <v>5.1</v>
      </c>
      <c r="H186" s="74" t="str">
        <f>IF(E186="","",VLOOKUP(E186,Causas!$A$2:$D$90,4,FALSE()))</f>
        <v>Incendios de causa indeterminada</v>
      </c>
      <c r="I186" s="74" t="str">
        <f>IF(E186="","",VLOOKUP(E186,Causas!$A$2:$E$90,5,FALSE()))</f>
        <v>Indeterminadas</v>
      </c>
      <c r="J186" s="18">
        <v>271902</v>
      </c>
      <c r="K186" s="18">
        <v>6091676</v>
      </c>
      <c r="L186" s="18">
        <v>2.1</v>
      </c>
      <c r="M186" s="18" t="s">
        <v>680</v>
      </c>
      <c r="N186" s="19" t="s">
        <v>761</v>
      </c>
      <c r="O186" s="31" t="s">
        <v>242</v>
      </c>
      <c r="P186" s="53">
        <v>46088</v>
      </c>
      <c r="Q186" s="40">
        <f t="shared" si="2"/>
        <v>3</v>
      </c>
      <c r="R186" s="40"/>
    </row>
    <row r="187" spans="1:18" x14ac:dyDescent="0.2">
      <c r="A187" s="17">
        <v>186</v>
      </c>
      <c r="B187" s="62" t="s">
        <v>566</v>
      </c>
      <c r="C187" s="18">
        <v>421</v>
      </c>
      <c r="D187" s="62" t="s">
        <v>397</v>
      </c>
      <c r="E187" s="18" t="s">
        <v>20</v>
      </c>
      <c r="F187" s="74" t="str">
        <f>IF(E187="","",VLOOKUP(E187,Causas!$A$2:$B$90,2,FALSE))</f>
        <v>Empleo de fuentes de calor en faena de extracción y/o confección de leña no industrial</v>
      </c>
      <c r="G187" s="70" t="str">
        <f>IF(E187="","",VLOOKUP(E187,Causas!$A$2:$D$90,3,FALSE()))</f>
        <v>4.11</v>
      </c>
      <c r="H187" s="74" t="str">
        <f>IF(E187="","",VLOOKUP(E187,Causas!$A$2:$D$90,4,FALSE()))</f>
        <v>Producción y/o extracción de productos y/o derivados del bosque</v>
      </c>
      <c r="I187" s="74" t="str">
        <f>IF(E187="","",VLOOKUP(E187,Causas!$A$2:$E$90,5,FALSE()))</f>
        <v>Negligentes</v>
      </c>
      <c r="J187" s="18">
        <v>270236</v>
      </c>
      <c r="K187" s="18">
        <v>6060599</v>
      </c>
      <c r="L187" s="18">
        <v>0.5</v>
      </c>
      <c r="M187" s="18" t="s">
        <v>680</v>
      </c>
      <c r="N187" s="19" t="s">
        <v>762</v>
      </c>
      <c r="O187" s="31" t="s">
        <v>242</v>
      </c>
      <c r="P187" s="53">
        <v>46046</v>
      </c>
      <c r="Q187" s="40">
        <f t="shared" si="2"/>
        <v>1</v>
      </c>
      <c r="R187" s="40"/>
    </row>
    <row r="188" spans="1:18" x14ac:dyDescent="0.2">
      <c r="A188" s="17">
        <v>187</v>
      </c>
      <c r="B188" s="62" t="s">
        <v>242</v>
      </c>
      <c r="C188" s="18">
        <v>624</v>
      </c>
      <c r="D188" s="62" t="s">
        <v>567</v>
      </c>
      <c r="E188" s="18" t="s">
        <v>134</v>
      </c>
      <c r="F188" s="74" t="str">
        <f>IF(E188="","",VLOOKUP(E188,Causas!$A$2:$B$90,2,FALSE))</f>
        <v>Quema no avisada de desechos agrícolas que se propaga libre y sin control</v>
      </c>
      <c r="G188" s="70" t="str">
        <f>IF(E188="","",VLOOKUP(E188,Causas!$A$2:$D$90,3,FALSE()))</f>
        <v>4.2</v>
      </c>
      <c r="H188" s="74" t="str">
        <f>IF(E188="","",VLOOKUP(E188,Causas!$A$2:$D$90,4,FALSE()))</f>
        <v>Faenas agrícolas y pecuarias</v>
      </c>
      <c r="I188" s="74" t="str">
        <f>IF(E188="","",VLOOKUP(E188,Causas!$A$2:$E$90,5,FALSE()))</f>
        <v>Negligentes</v>
      </c>
      <c r="J188" s="18">
        <v>265253</v>
      </c>
      <c r="K188" s="18">
        <v>6069923</v>
      </c>
      <c r="L188" s="18">
        <v>9.5</v>
      </c>
      <c r="M188" s="18" t="s">
        <v>680</v>
      </c>
      <c r="N188" s="19" t="s">
        <v>763</v>
      </c>
      <c r="O188" s="31" t="s">
        <v>242</v>
      </c>
      <c r="P188" s="53">
        <v>46096</v>
      </c>
      <c r="Q188" s="40">
        <f t="shared" si="2"/>
        <v>3</v>
      </c>
      <c r="R188" s="40"/>
    </row>
    <row r="189" spans="1:18" x14ac:dyDescent="0.2">
      <c r="A189" s="17">
        <v>188</v>
      </c>
      <c r="B189" s="62" t="s">
        <v>254</v>
      </c>
      <c r="C189" s="18">
        <v>571</v>
      </c>
      <c r="D189" s="62" t="s">
        <v>384</v>
      </c>
      <c r="E189" s="18" t="s">
        <v>160</v>
      </c>
      <c r="F189" s="74" t="str">
        <f>IF(E189="","",VLOOKUP(E189,Causas!$A$2:$B$90,2,FALSE))</f>
        <v>Rebrote de incendio anterior, declarado extinto</v>
      </c>
      <c r="G189" s="70" t="str">
        <f>IF(E189="","",VLOOKUP(E189,Causas!$A$2:$D$90,3,FALSE()))</f>
        <v>4.5</v>
      </c>
      <c r="H189" s="74" t="str">
        <f>IF(E189="","",VLOOKUP(E189,Causas!$A$2:$D$90,4,FALSE()))</f>
        <v>Actividades de control y extinción de incendios forestales</v>
      </c>
      <c r="I189" s="74" t="str">
        <f>IF(E189="","",VLOOKUP(E189,Causas!$A$2:$E$90,5,FALSE()))</f>
        <v>Negligentes</v>
      </c>
      <c r="J189" s="18">
        <v>257766</v>
      </c>
      <c r="K189" s="18">
        <v>6061630</v>
      </c>
      <c r="L189" s="18">
        <v>2</v>
      </c>
      <c r="M189" s="18" t="s">
        <v>680</v>
      </c>
      <c r="N189" s="19" t="s">
        <v>764</v>
      </c>
      <c r="O189" s="31" t="s">
        <v>248</v>
      </c>
      <c r="P189" s="53">
        <v>46079</v>
      </c>
      <c r="Q189" s="40">
        <f t="shared" si="2"/>
        <v>2</v>
      </c>
      <c r="R189" s="40"/>
    </row>
    <row r="190" spans="1:18" x14ac:dyDescent="0.2">
      <c r="A190" s="17">
        <v>189</v>
      </c>
      <c r="B190" s="62" t="s">
        <v>254</v>
      </c>
      <c r="C190" s="18">
        <v>177</v>
      </c>
      <c r="D190" s="62" t="s">
        <v>568</v>
      </c>
      <c r="E190" s="18" t="s">
        <v>20</v>
      </c>
      <c r="F190" s="74" t="str">
        <f>IF(E190="","",VLOOKUP(E190,Causas!$A$2:$B$90,2,FALSE))</f>
        <v>Empleo de fuentes de calor en faena de extracción y/o confección de leña no industrial</v>
      </c>
      <c r="G190" s="70" t="str">
        <f>IF(E190="","",VLOOKUP(E190,Causas!$A$2:$D$90,3,FALSE()))</f>
        <v>4.11</v>
      </c>
      <c r="H190" s="74" t="str">
        <f>IF(E190="","",VLOOKUP(E190,Causas!$A$2:$D$90,4,FALSE()))</f>
        <v>Producción y/o extracción de productos y/o derivados del bosque</v>
      </c>
      <c r="I190" s="74" t="str">
        <f>IF(E190="","",VLOOKUP(E190,Causas!$A$2:$E$90,5,FALSE()))</f>
        <v>Negligentes</v>
      </c>
      <c r="J190" s="18">
        <v>260303</v>
      </c>
      <c r="K190" s="18">
        <v>6060187</v>
      </c>
      <c r="L190" s="18">
        <v>6</v>
      </c>
      <c r="M190" s="18" t="s">
        <v>680</v>
      </c>
      <c r="N190" s="19" t="s">
        <v>765</v>
      </c>
      <c r="O190" s="31" t="s">
        <v>248</v>
      </c>
      <c r="P190" s="53">
        <v>45997</v>
      </c>
      <c r="Q190" s="40">
        <f t="shared" si="2"/>
        <v>12</v>
      </c>
      <c r="R190" s="40"/>
    </row>
    <row r="191" spans="1:18" x14ac:dyDescent="0.2">
      <c r="A191" s="17">
        <v>190</v>
      </c>
      <c r="B191" s="62" t="s">
        <v>254</v>
      </c>
      <c r="C191" s="18">
        <v>193</v>
      </c>
      <c r="D191" s="62" t="s">
        <v>569</v>
      </c>
      <c r="E191" s="18" t="s">
        <v>223</v>
      </c>
      <c r="F191" s="74" t="str">
        <f>IF(E191="","",VLOOKUP(E191,Causas!$A$2:$B$90,2,FALSE))</f>
        <v>Otras actividades negligentes no clasificadas</v>
      </c>
      <c r="G191" s="70" t="str">
        <f>IF(E191="","",VLOOKUP(E191,Causas!$A$2:$D$90,3,FALSE()))</f>
        <v>4.10</v>
      </c>
      <c r="H191" s="74" t="str">
        <f>IF(E191="","",VLOOKUP(E191,Causas!$A$2:$D$90,4,FALSE()))</f>
        <v>Otras causas</v>
      </c>
      <c r="I191" s="74" t="str">
        <f>IF(E191="","",VLOOKUP(E191,Causas!$A$2:$E$90,5,FALSE()))</f>
        <v>Negligentes</v>
      </c>
      <c r="J191" s="18">
        <v>261276</v>
      </c>
      <c r="K191" s="18">
        <v>6060032</v>
      </c>
      <c r="L191" s="18">
        <v>2.1</v>
      </c>
      <c r="M191" s="18" t="s">
        <v>680</v>
      </c>
      <c r="N191" s="19" t="s">
        <v>766</v>
      </c>
      <c r="O191" s="31" t="s">
        <v>248</v>
      </c>
      <c r="P191" s="53">
        <v>46000</v>
      </c>
      <c r="Q191" s="40">
        <f t="shared" si="2"/>
        <v>12</v>
      </c>
      <c r="R191" s="40"/>
    </row>
    <row r="192" spans="1:18" x14ac:dyDescent="0.2">
      <c r="A192" s="17">
        <v>191</v>
      </c>
      <c r="B192" s="62" t="s">
        <v>254</v>
      </c>
      <c r="C192" s="18">
        <v>395</v>
      </c>
      <c r="D192" s="62" t="s">
        <v>570</v>
      </c>
      <c r="E192" s="18" t="s">
        <v>93</v>
      </c>
      <c r="F192" s="74" t="str">
        <f>IF(E192="","",VLOOKUP(E192,Causas!$A$2:$B$90,2,FALSE))</f>
        <v>Provocado, no se identifica la motivación</v>
      </c>
      <c r="G192" s="70" t="str">
        <f>IF(E192="","",VLOOKUP(E192,Causas!$A$2:$D$90,3,FALSE()))</f>
        <v>2.1</v>
      </c>
      <c r="H192" s="74" t="str">
        <f>IF(E192="","",VLOOKUP(E192,Causas!$A$2:$D$90,4,FALSE()))</f>
        <v>Incendios intencionales</v>
      </c>
      <c r="I192" s="74" t="str">
        <f>IF(E192="","",VLOOKUP(E192,Causas!$A$2:$E$90,5,FALSE()))</f>
        <v>Intencionales</v>
      </c>
      <c r="J192" s="18">
        <v>259993</v>
      </c>
      <c r="K192" s="18">
        <v>6060373</v>
      </c>
      <c r="L192" s="18">
        <v>12</v>
      </c>
      <c r="M192" s="18" t="s">
        <v>680</v>
      </c>
      <c r="N192" s="19" t="s">
        <v>767</v>
      </c>
      <c r="O192" s="31" t="s">
        <v>248</v>
      </c>
      <c r="P192" s="53">
        <v>46098</v>
      </c>
      <c r="Q192" s="40">
        <f t="shared" si="2"/>
        <v>3</v>
      </c>
      <c r="R192" s="40"/>
    </row>
    <row r="193" spans="1:18" x14ac:dyDescent="0.2">
      <c r="A193" s="17">
        <v>192</v>
      </c>
      <c r="B193" s="62" t="s">
        <v>254</v>
      </c>
      <c r="C193" s="18">
        <v>562</v>
      </c>
      <c r="D193" s="62" t="s">
        <v>571</v>
      </c>
      <c r="E193" s="18" t="s">
        <v>93</v>
      </c>
      <c r="F193" s="74" t="str">
        <f>IF(E193="","",VLOOKUP(E193,Causas!$A$2:$B$90,2,FALSE))</f>
        <v>Provocado, no se identifica la motivación</v>
      </c>
      <c r="G193" s="70" t="str">
        <f>IF(E193="","",VLOOKUP(E193,Causas!$A$2:$D$90,3,FALSE()))</f>
        <v>2.1</v>
      </c>
      <c r="H193" s="74" t="str">
        <f>IF(E193="","",VLOOKUP(E193,Causas!$A$2:$D$90,4,FALSE()))</f>
        <v>Incendios intencionales</v>
      </c>
      <c r="I193" s="74" t="str">
        <f>IF(E193="","",VLOOKUP(E193,Causas!$A$2:$E$90,5,FALSE()))</f>
        <v>Intencionales</v>
      </c>
      <c r="J193" s="18">
        <v>258176</v>
      </c>
      <c r="K193" s="18">
        <v>6061441</v>
      </c>
      <c r="L193" s="18">
        <v>1</v>
      </c>
      <c r="M193" s="18" t="s">
        <v>680</v>
      </c>
      <c r="N193" s="19" t="s">
        <v>768</v>
      </c>
      <c r="O193" s="31" t="s">
        <v>248</v>
      </c>
      <c r="P193" s="53">
        <v>46078</v>
      </c>
      <c r="Q193" s="40">
        <f t="shared" si="2"/>
        <v>2</v>
      </c>
      <c r="R193" s="40"/>
    </row>
    <row r="194" spans="1:18" x14ac:dyDescent="0.2">
      <c r="A194" s="17">
        <v>193</v>
      </c>
      <c r="B194" s="62" t="s">
        <v>253</v>
      </c>
      <c r="C194" s="18">
        <v>623</v>
      </c>
      <c r="D194" s="62" t="s">
        <v>572</v>
      </c>
      <c r="E194" s="18" t="s">
        <v>189</v>
      </c>
      <c r="F194" s="74" t="str">
        <f>IF(E194="","",VLOOKUP(E194,Causas!$A$2:$B$90,2,FALSE))</f>
        <v>Combustión de la vegetación, producto del contacto o proximidad con el tendido eléctrico</v>
      </c>
      <c r="G194" s="70" t="str">
        <f>IF(E194="","",VLOOKUP(E194,Causas!$A$2:$D$90,3,FALSE()))</f>
        <v>4.9</v>
      </c>
      <c r="H194" s="74" t="str">
        <f>IF(E194="","",VLOOKUP(E194,Causas!$A$2:$D$90,4,FALSE()))</f>
        <v>Líneas eléctricas</v>
      </c>
      <c r="I194" s="74" t="str">
        <f>IF(E194="","",VLOOKUP(E194,Causas!$A$2:$E$90,5,FALSE()))</f>
        <v>Negligentes</v>
      </c>
      <c r="J194" s="18">
        <v>300278</v>
      </c>
      <c r="K194" s="18">
        <v>6135620</v>
      </c>
      <c r="L194" s="18">
        <v>4.8</v>
      </c>
      <c r="M194" s="18" t="s">
        <v>680</v>
      </c>
      <c r="N194" s="19" t="s">
        <v>769</v>
      </c>
      <c r="O194" s="31" t="s">
        <v>253</v>
      </c>
      <c r="P194" s="53">
        <v>46096</v>
      </c>
      <c r="Q194" s="40">
        <f t="shared" si="2"/>
        <v>3</v>
      </c>
      <c r="R194" s="40"/>
    </row>
    <row r="195" spans="1:18" x14ac:dyDescent="0.2">
      <c r="A195" s="17">
        <v>194</v>
      </c>
      <c r="B195" s="62" t="s">
        <v>253</v>
      </c>
      <c r="C195" s="18">
        <v>615</v>
      </c>
      <c r="D195" s="62" t="s">
        <v>573</v>
      </c>
      <c r="E195" s="18" t="s">
        <v>219</v>
      </c>
      <c r="F195" s="74" t="str">
        <f>IF(E195="","",VLOOKUP(E195,Causas!$A$2:$B$90,2,FALSE))</f>
        <v>Empleo de fuentes de calor para eliminar recubrimiento de  conductores eléctricos</v>
      </c>
      <c r="G195" s="70" t="str">
        <f>IF(E195="","",VLOOKUP(E195,Causas!$A$2:$D$90,3,FALSE()))</f>
        <v>4.10</v>
      </c>
      <c r="H195" s="74" t="str">
        <f>IF(E195="","",VLOOKUP(E195,Causas!$A$2:$D$90,4,FALSE()))</f>
        <v>Otras causas</v>
      </c>
      <c r="I195" s="74" t="str">
        <f>IF(E195="","",VLOOKUP(E195,Causas!$A$2:$E$90,5,FALSE()))</f>
        <v>Negligentes</v>
      </c>
      <c r="J195" s="18">
        <v>295037</v>
      </c>
      <c r="K195" s="18">
        <v>6123482</v>
      </c>
      <c r="L195" s="18">
        <v>1</v>
      </c>
      <c r="M195" s="18" t="s">
        <v>680</v>
      </c>
      <c r="N195" s="19" t="s">
        <v>770</v>
      </c>
      <c r="O195" s="31" t="s">
        <v>253</v>
      </c>
      <c r="P195" s="53">
        <v>46094</v>
      </c>
      <c r="Q195" s="40">
        <f t="shared" ref="Q195:Q258" si="3">MONTH(P195)</f>
        <v>3</v>
      </c>
      <c r="R195" s="40"/>
    </row>
    <row r="196" spans="1:18" x14ac:dyDescent="0.2">
      <c r="A196" s="17">
        <v>195</v>
      </c>
      <c r="B196" s="62" t="s">
        <v>253</v>
      </c>
      <c r="C196" s="18">
        <v>626</v>
      </c>
      <c r="D196" s="62" t="s">
        <v>574</v>
      </c>
      <c r="E196" s="18" t="s">
        <v>25</v>
      </c>
      <c r="F196" s="74" t="str">
        <f>IF(E196="","",VLOOKUP(E196,Causas!$A$2:$B$90,2,FALSE))</f>
        <v>Quema de basura residencial o desechos vegetales</v>
      </c>
      <c r="G196" s="70" t="str">
        <f>IF(E196="","",VLOOKUP(E196,Causas!$A$2:$D$90,3,FALSE()))</f>
        <v>4.8</v>
      </c>
      <c r="H196" s="74" t="str">
        <f>IF(E196="","",VLOOKUP(E196,Causas!$A$2:$D$90,4,FALSE()))</f>
        <v>Otras quemas</v>
      </c>
      <c r="I196" s="74" t="str">
        <f>IF(E196="","",VLOOKUP(E196,Causas!$A$2:$E$90,5,FALSE()))</f>
        <v>Negligentes</v>
      </c>
      <c r="J196" s="18">
        <v>298522</v>
      </c>
      <c r="K196" s="18">
        <v>6115202</v>
      </c>
      <c r="L196" s="18">
        <v>0.2</v>
      </c>
      <c r="M196" s="18" t="s">
        <v>680</v>
      </c>
      <c r="N196" s="19" t="s">
        <v>771</v>
      </c>
      <c r="O196" s="31" t="s">
        <v>253</v>
      </c>
      <c r="P196" s="53">
        <v>46096</v>
      </c>
      <c r="Q196" s="40">
        <f t="shared" si="3"/>
        <v>3</v>
      </c>
      <c r="R196" s="40"/>
    </row>
    <row r="197" spans="1:18" x14ac:dyDescent="0.2">
      <c r="A197" s="17">
        <v>196</v>
      </c>
      <c r="B197" s="62" t="s">
        <v>566</v>
      </c>
      <c r="C197" s="18">
        <v>621</v>
      </c>
      <c r="D197" s="62" t="s">
        <v>575</v>
      </c>
      <c r="E197" s="18" t="s">
        <v>134</v>
      </c>
      <c r="F197" s="74" t="str">
        <f>IF(E197="","",VLOOKUP(E197,Causas!$A$2:$B$90,2,FALSE))</f>
        <v>Quema no avisada de desechos agrícolas que se propaga libre y sin control</v>
      </c>
      <c r="G197" s="70" t="str">
        <f>IF(E197="","",VLOOKUP(E197,Causas!$A$2:$D$90,3,FALSE()))</f>
        <v>4.2</v>
      </c>
      <c r="H197" s="74" t="str">
        <f>IF(E197="","",VLOOKUP(E197,Causas!$A$2:$D$90,4,FALSE()))</f>
        <v>Faenas agrícolas y pecuarias</v>
      </c>
      <c r="I197" s="74" t="str">
        <f>IF(E197="","",VLOOKUP(E197,Causas!$A$2:$E$90,5,FALSE()))</f>
        <v>Negligentes</v>
      </c>
      <c r="J197" s="18">
        <v>280399</v>
      </c>
      <c r="K197" s="18">
        <v>6069889</v>
      </c>
      <c r="L197" s="18">
        <v>1.5</v>
      </c>
      <c r="M197" s="18" t="s">
        <v>680</v>
      </c>
      <c r="N197" s="19" t="s">
        <v>772</v>
      </c>
      <c r="O197" s="31" t="s">
        <v>242</v>
      </c>
      <c r="P197" s="53">
        <v>46096</v>
      </c>
      <c r="Q197" s="40">
        <f t="shared" si="3"/>
        <v>3</v>
      </c>
      <c r="R197" s="40"/>
    </row>
    <row r="198" spans="1:18" x14ac:dyDescent="0.2">
      <c r="A198" s="17">
        <v>197</v>
      </c>
      <c r="B198" s="62" t="s">
        <v>257</v>
      </c>
      <c r="C198" s="18">
        <v>499</v>
      </c>
      <c r="D198" s="62" t="s">
        <v>576</v>
      </c>
      <c r="E198" s="18" t="s">
        <v>148</v>
      </c>
      <c r="F198" s="74" t="str">
        <f>IF(E198="","",VLOOKUP(E198,Causas!$A$2:$B$90,2,FALSE))</f>
        <v>Otras causas negligentes no clasificadas en faenas agrícolas y pecuarias</v>
      </c>
      <c r="G198" s="70" t="str">
        <f>IF(E198="","",VLOOKUP(E198,Causas!$A$2:$D$90,3,FALSE()))</f>
        <v>4.2</v>
      </c>
      <c r="H198" s="74" t="str">
        <f>IF(E198="","",VLOOKUP(E198,Causas!$A$2:$D$90,4,FALSE()))</f>
        <v>Faenas agrícolas y pecuarias</v>
      </c>
      <c r="I198" s="74" t="str">
        <f>IF(E198="","",VLOOKUP(E198,Causas!$A$2:$E$90,5,FALSE()))</f>
        <v>Negligentes</v>
      </c>
      <c r="J198" s="18">
        <v>279826</v>
      </c>
      <c r="K198" s="18">
        <v>6088987</v>
      </c>
      <c r="L198" s="18">
        <v>0.3</v>
      </c>
      <c r="M198" s="18" t="s">
        <v>680</v>
      </c>
      <c r="N198" s="19" t="s">
        <v>773</v>
      </c>
      <c r="O198" s="31" t="s">
        <v>242</v>
      </c>
      <c r="P198" s="53">
        <v>46063</v>
      </c>
      <c r="Q198" s="40">
        <f t="shared" si="3"/>
        <v>2</v>
      </c>
      <c r="R198" s="40"/>
    </row>
    <row r="199" spans="1:18" x14ac:dyDescent="0.2">
      <c r="A199" s="17">
        <v>198</v>
      </c>
      <c r="B199" s="62" t="s">
        <v>257</v>
      </c>
      <c r="C199" s="18">
        <v>396</v>
      </c>
      <c r="D199" s="62" t="s">
        <v>577</v>
      </c>
      <c r="E199" s="18" t="s">
        <v>25</v>
      </c>
      <c r="F199" s="74" t="str">
        <f>IF(E199="","",VLOOKUP(E199,Causas!$A$2:$B$90,2,FALSE))</f>
        <v>Quema de basura residencial o desechos vegetales</v>
      </c>
      <c r="G199" s="70" t="str">
        <f>IF(E199="","",VLOOKUP(E199,Causas!$A$2:$D$90,3,FALSE()))</f>
        <v>4.8</v>
      </c>
      <c r="H199" s="74" t="str">
        <f>IF(E199="","",VLOOKUP(E199,Causas!$A$2:$D$90,4,FALSE()))</f>
        <v>Otras quemas</v>
      </c>
      <c r="I199" s="74" t="str">
        <f>IF(E199="","",VLOOKUP(E199,Causas!$A$2:$E$90,5,FALSE()))</f>
        <v>Negligentes</v>
      </c>
      <c r="J199" s="18">
        <v>269711</v>
      </c>
      <c r="K199" s="18">
        <v>6088676</v>
      </c>
      <c r="L199" s="18">
        <v>1</v>
      </c>
      <c r="M199" s="18" t="s">
        <v>680</v>
      </c>
      <c r="N199" s="19" t="s">
        <v>774</v>
      </c>
      <c r="O199" s="31" t="s">
        <v>242</v>
      </c>
      <c r="P199" s="53">
        <v>46040</v>
      </c>
      <c r="Q199" s="40">
        <f t="shared" si="3"/>
        <v>1</v>
      </c>
      <c r="R199" s="40"/>
    </row>
    <row r="200" spans="1:18" x14ac:dyDescent="0.2">
      <c r="A200" s="17">
        <v>199</v>
      </c>
      <c r="B200" s="62" t="s">
        <v>12</v>
      </c>
      <c r="C200" s="18">
        <v>538</v>
      </c>
      <c r="D200" s="62" t="s">
        <v>578</v>
      </c>
      <c r="E200" s="18" t="s">
        <v>93</v>
      </c>
      <c r="F200" s="74" t="str">
        <f>IF(E200="","",VLOOKUP(E200,Causas!$A$2:$B$90,2,FALSE))</f>
        <v>Provocado, no se identifica la motivación</v>
      </c>
      <c r="G200" s="70" t="str">
        <f>IF(E200="","",VLOOKUP(E200,Causas!$A$2:$D$90,3,FALSE()))</f>
        <v>2.1</v>
      </c>
      <c r="H200" s="74" t="str">
        <f>IF(E200="","",VLOOKUP(E200,Causas!$A$2:$D$90,4,FALSE()))</f>
        <v>Incendios intencionales</v>
      </c>
      <c r="I200" s="74" t="str">
        <f>IF(E200="","",VLOOKUP(E200,Causas!$A$2:$E$90,5,FALSE()))</f>
        <v>Intencionales</v>
      </c>
      <c r="J200" s="18">
        <v>254026</v>
      </c>
      <c r="K200" s="18">
        <v>6068190</v>
      </c>
      <c r="L200" s="18">
        <v>0.2</v>
      </c>
      <c r="M200" s="18" t="s">
        <v>680</v>
      </c>
      <c r="N200" s="19" t="s">
        <v>775</v>
      </c>
      <c r="O200" s="31" t="s">
        <v>242</v>
      </c>
      <c r="P200" s="53">
        <v>46073</v>
      </c>
      <c r="Q200" s="40">
        <f t="shared" si="3"/>
        <v>2</v>
      </c>
      <c r="R200" s="40"/>
    </row>
    <row r="201" spans="1:18" x14ac:dyDescent="0.2">
      <c r="A201" s="17">
        <v>200</v>
      </c>
      <c r="B201" s="62" t="s">
        <v>254</v>
      </c>
      <c r="C201" s="18">
        <v>432</v>
      </c>
      <c r="D201" s="62" t="s">
        <v>579</v>
      </c>
      <c r="E201" s="18" t="s">
        <v>233</v>
      </c>
      <c r="F201" s="74" t="str">
        <f>IF(E201="","",VLOOKUP(E201,Causas!$A$2:$B$90,2,FALSE))</f>
        <v>Se investiga pero no es posible establecer la causa</v>
      </c>
      <c r="G201" s="70" t="str">
        <f>IF(E201="","",VLOOKUP(E201,Causas!$A$2:$D$90,3,FALSE()))</f>
        <v>5.1</v>
      </c>
      <c r="H201" s="74" t="str">
        <f>IF(E201="","",VLOOKUP(E201,Causas!$A$2:$D$90,4,FALSE()))</f>
        <v>Incendios de causa indeterminada</v>
      </c>
      <c r="I201" s="74" t="str">
        <f>IF(E201="","",VLOOKUP(E201,Causas!$A$2:$E$90,5,FALSE()))</f>
        <v>Indeterminadas</v>
      </c>
      <c r="J201" s="18">
        <v>233899</v>
      </c>
      <c r="K201" s="18">
        <v>6069174</v>
      </c>
      <c r="L201" s="18">
        <v>6</v>
      </c>
      <c r="M201" s="18" t="s">
        <v>680</v>
      </c>
      <c r="N201" s="19" t="s">
        <v>776</v>
      </c>
      <c r="O201" s="31" t="s">
        <v>248</v>
      </c>
      <c r="P201" s="53">
        <v>46048</v>
      </c>
      <c r="Q201" s="40">
        <f t="shared" si="3"/>
        <v>1</v>
      </c>
      <c r="R201" s="40"/>
    </row>
    <row r="202" spans="1:18" x14ac:dyDescent="0.2">
      <c r="A202" s="17">
        <v>201</v>
      </c>
      <c r="B202" s="62" t="s">
        <v>254</v>
      </c>
      <c r="C202" s="18">
        <v>420</v>
      </c>
      <c r="D202" s="62" t="s">
        <v>580</v>
      </c>
      <c r="E202" s="18" t="s">
        <v>65</v>
      </c>
      <c r="F202" s="74" t="str">
        <f>IF(E202="","",VLOOKUP(E202,Causas!$A$2:$B$90,2,FALSE))</f>
        <v>Incendio estructural</v>
      </c>
      <c r="G202" s="70" t="str">
        <f>IF(E202="","",VLOOKUP(E202,Causas!$A$2:$D$90,3,FALSE()))</f>
        <v>1.6</v>
      </c>
      <c r="H202" s="74" t="str">
        <f>IF(E202="","",VLOOKUP(E202,Causas!$A$2:$D$90,4,FALSE()))</f>
        <v>Parcelaciones, edificaciones residenciales, industriales u otras en zonas rurales o de interfaz</v>
      </c>
      <c r="I202" s="74" t="str">
        <f>IF(E202="","",VLOOKUP(E202,Causas!$A$2:$E$90,5,FALSE()))</f>
        <v>Accidentales</v>
      </c>
      <c r="J202" s="18">
        <v>760638</v>
      </c>
      <c r="K202" s="18">
        <v>6056780</v>
      </c>
      <c r="L202" s="18">
        <v>1.3</v>
      </c>
      <c r="M202" s="18" t="s">
        <v>680</v>
      </c>
      <c r="N202" s="19" t="s">
        <v>777</v>
      </c>
      <c r="O202" s="31" t="s">
        <v>248</v>
      </c>
      <c r="P202" s="53">
        <v>46045</v>
      </c>
      <c r="Q202" s="40">
        <f t="shared" si="3"/>
        <v>1</v>
      </c>
      <c r="R202" s="40"/>
    </row>
    <row r="203" spans="1:18" x14ac:dyDescent="0.2">
      <c r="A203" s="17">
        <v>202</v>
      </c>
      <c r="B203" s="62" t="s">
        <v>248</v>
      </c>
      <c r="C203" s="18">
        <v>276</v>
      </c>
      <c r="D203" s="62" t="s">
        <v>581</v>
      </c>
      <c r="E203" s="18" t="s">
        <v>96</v>
      </c>
      <c r="F203" s="74" t="str">
        <f>IF(E203="","",VLOOKUP(E203,Causas!$A$2:$B$90,2,FALSE))</f>
        <v>Provocado por conflicto entre personas (venganza, familiares, pasionales, otros)</v>
      </c>
      <c r="G203" s="70" t="str">
        <f>IF(E203="","",VLOOKUP(E203,Causas!$A$2:$D$90,3,FALSE()))</f>
        <v>2.1</v>
      </c>
      <c r="H203" s="74" t="str">
        <f>IF(E203="","",VLOOKUP(E203,Causas!$A$2:$D$90,4,FALSE()))</f>
        <v>Incendios intencionales</v>
      </c>
      <c r="I203" s="74" t="str">
        <f>IF(E203="","",VLOOKUP(E203,Causas!$A$2:$E$90,5,FALSE()))</f>
        <v>Intencionales</v>
      </c>
      <c r="J203" s="18">
        <v>263299</v>
      </c>
      <c r="K203" s="18">
        <v>6028561</v>
      </c>
      <c r="L203" s="18">
        <v>40</v>
      </c>
      <c r="M203" s="18" t="s">
        <v>680</v>
      </c>
      <c r="N203" s="19" t="s">
        <v>778</v>
      </c>
      <c r="O203" s="31" t="s">
        <v>248</v>
      </c>
      <c r="P203" s="53">
        <v>46016</v>
      </c>
      <c r="Q203" s="40">
        <f t="shared" si="3"/>
        <v>12</v>
      </c>
      <c r="R203" s="40"/>
    </row>
    <row r="204" spans="1:18" x14ac:dyDescent="0.2">
      <c r="A204" s="17">
        <v>203</v>
      </c>
      <c r="B204" s="62" t="s">
        <v>248</v>
      </c>
      <c r="C204" s="18">
        <v>81</v>
      </c>
      <c r="D204" s="62" t="s">
        <v>582</v>
      </c>
      <c r="E204" s="18" t="s">
        <v>223</v>
      </c>
      <c r="F204" s="74" t="str">
        <f>IF(E204="","",VLOOKUP(E204,Causas!$A$2:$B$90,2,FALSE))</f>
        <v>Otras actividades negligentes no clasificadas</v>
      </c>
      <c r="G204" s="70" t="str">
        <f>IF(E204="","",VLOOKUP(E204,Causas!$A$2:$D$90,3,FALSE()))</f>
        <v>4.10</v>
      </c>
      <c r="H204" s="74" t="str">
        <f>IF(E204="","",VLOOKUP(E204,Causas!$A$2:$D$90,4,FALSE()))</f>
        <v>Otras causas</v>
      </c>
      <c r="I204" s="74" t="str">
        <f>IF(E204="","",VLOOKUP(E204,Causas!$A$2:$E$90,5,FALSE()))</f>
        <v>Negligentes</v>
      </c>
      <c r="J204" s="18">
        <v>263330</v>
      </c>
      <c r="K204" s="18">
        <v>6028107</v>
      </c>
      <c r="L204" s="18">
        <v>0.3</v>
      </c>
      <c r="M204" s="18" t="s">
        <v>680</v>
      </c>
      <c r="N204" s="19" t="s">
        <v>779</v>
      </c>
      <c r="O204" s="31" t="s">
        <v>248</v>
      </c>
      <c r="P204" s="53">
        <v>45976</v>
      </c>
      <c r="Q204" s="40">
        <f t="shared" si="3"/>
        <v>11</v>
      </c>
      <c r="R204" s="40"/>
    </row>
    <row r="205" spans="1:18" x14ac:dyDescent="0.2">
      <c r="A205" s="17">
        <v>204</v>
      </c>
      <c r="B205" s="62" t="s">
        <v>248</v>
      </c>
      <c r="C205" s="18">
        <v>129</v>
      </c>
      <c r="D205" s="62" t="s">
        <v>583</v>
      </c>
      <c r="E205" s="18" t="s">
        <v>93</v>
      </c>
      <c r="F205" s="74" t="str">
        <f>IF(E205="","",VLOOKUP(E205,Causas!$A$2:$B$90,2,FALSE))</f>
        <v>Provocado, no se identifica la motivación</v>
      </c>
      <c r="G205" s="70" t="str">
        <f>IF(E205="","",VLOOKUP(E205,Causas!$A$2:$D$90,3,FALSE()))</f>
        <v>2.1</v>
      </c>
      <c r="H205" s="74" t="str">
        <f>IF(E205="","",VLOOKUP(E205,Causas!$A$2:$D$90,4,FALSE()))</f>
        <v>Incendios intencionales</v>
      </c>
      <c r="I205" s="74" t="str">
        <f>IF(E205="","",VLOOKUP(E205,Causas!$A$2:$E$90,5,FALSE()))</f>
        <v>Intencionales</v>
      </c>
      <c r="J205" s="18">
        <v>262261</v>
      </c>
      <c r="K205" s="18">
        <v>6028097</v>
      </c>
      <c r="L205" s="18">
        <v>0.01</v>
      </c>
      <c r="M205" s="18" t="s">
        <v>680</v>
      </c>
      <c r="N205" s="19" t="s">
        <v>780</v>
      </c>
      <c r="O205" s="31" t="s">
        <v>248</v>
      </c>
      <c r="P205" s="53">
        <v>45987</v>
      </c>
      <c r="Q205" s="40">
        <f t="shared" si="3"/>
        <v>11</v>
      </c>
      <c r="R205" s="40"/>
    </row>
    <row r="206" spans="1:18" x14ac:dyDescent="0.2">
      <c r="A206" s="17">
        <v>205</v>
      </c>
      <c r="B206" s="62" t="s">
        <v>248</v>
      </c>
      <c r="C206" s="18">
        <v>406</v>
      </c>
      <c r="D206" s="62" t="s">
        <v>584</v>
      </c>
      <c r="E206" s="18" t="s">
        <v>25</v>
      </c>
      <c r="F206" s="74" t="str">
        <f>IF(E206="","",VLOOKUP(E206,Causas!$A$2:$B$90,2,FALSE))</f>
        <v>Quema de basura residencial o desechos vegetales</v>
      </c>
      <c r="G206" s="70" t="str">
        <f>IF(E206="","",VLOOKUP(E206,Causas!$A$2:$D$90,3,FALSE()))</f>
        <v>4.8</v>
      </c>
      <c r="H206" s="74" t="str">
        <f>IF(E206="","",VLOOKUP(E206,Causas!$A$2:$D$90,4,FALSE()))</f>
        <v>Otras quemas</v>
      </c>
      <c r="I206" s="74" t="str">
        <f>IF(E206="","",VLOOKUP(E206,Causas!$A$2:$E$90,5,FALSE()))</f>
        <v>Negligentes</v>
      </c>
      <c r="J206" s="18">
        <v>262344</v>
      </c>
      <c r="K206" s="18">
        <v>6028268</v>
      </c>
      <c r="L206" s="18">
        <v>0.9</v>
      </c>
      <c r="M206" s="18" t="s">
        <v>680</v>
      </c>
      <c r="N206" s="19" t="s">
        <v>781</v>
      </c>
      <c r="O206" s="31" t="s">
        <v>248</v>
      </c>
      <c r="P206" s="53">
        <v>46042</v>
      </c>
      <c r="Q206" s="40">
        <f t="shared" si="3"/>
        <v>1</v>
      </c>
      <c r="R206" s="40"/>
    </row>
    <row r="207" spans="1:18" x14ac:dyDescent="0.2">
      <c r="A207" s="17">
        <v>206</v>
      </c>
      <c r="B207" s="62" t="s">
        <v>248</v>
      </c>
      <c r="C207" s="18">
        <v>412</v>
      </c>
      <c r="D207" s="62" t="s">
        <v>585</v>
      </c>
      <c r="E207" s="18" t="s">
        <v>20</v>
      </c>
      <c r="F207" s="74" t="str">
        <f>IF(E207="","",VLOOKUP(E207,Causas!$A$2:$B$90,2,FALSE))</f>
        <v>Empleo de fuentes de calor en faena de extracción y/o confección de leña no industrial</v>
      </c>
      <c r="G207" s="70" t="str">
        <f>IF(E207="","",VLOOKUP(E207,Causas!$A$2:$D$90,3,FALSE()))</f>
        <v>4.11</v>
      </c>
      <c r="H207" s="74" t="str">
        <f>IF(E207="","",VLOOKUP(E207,Causas!$A$2:$D$90,4,FALSE()))</f>
        <v>Producción y/o extracción de productos y/o derivados del bosque</v>
      </c>
      <c r="I207" s="74" t="str">
        <f>IF(E207="","",VLOOKUP(E207,Causas!$A$2:$E$90,5,FALSE()))</f>
        <v>Negligentes</v>
      </c>
      <c r="J207" s="18">
        <v>262136</v>
      </c>
      <c r="K207" s="18">
        <v>6028501</v>
      </c>
      <c r="L207" s="18">
        <v>2.6</v>
      </c>
      <c r="M207" s="18" t="s">
        <v>680</v>
      </c>
      <c r="N207" s="19" t="s">
        <v>782</v>
      </c>
      <c r="O207" s="31" t="s">
        <v>248</v>
      </c>
      <c r="P207" s="53">
        <v>46043</v>
      </c>
      <c r="Q207" s="40">
        <f t="shared" si="3"/>
        <v>1</v>
      </c>
      <c r="R207" s="40"/>
    </row>
    <row r="208" spans="1:18" x14ac:dyDescent="0.2">
      <c r="A208" s="17">
        <v>207</v>
      </c>
      <c r="B208" s="62" t="s">
        <v>254</v>
      </c>
      <c r="C208" s="18">
        <v>619</v>
      </c>
      <c r="D208" s="62" t="s">
        <v>586</v>
      </c>
      <c r="E208" s="18" t="s">
        <v>65</v>
      </c>
      <c r="F208" s="74" t="str">
        <f>IF(E208="","",VLOOKUP(E208,Causas!$A$2:$B$90,2,FALSE))</f>
        <v>Incendio estructural</v>
      </c>
      <c r="G208" s="70" t="str">
        <f>IF(E208="","",VLOOKUP(E208,Causas!$A$2:$D$90,3,FALSE()))</f>
        <v>1.6</v>
      </c>
      <c r="H208" s="74" t="str">
        <f>IF(E208="","",VLOOKUP(E208,Causas!$A$2:$D$90,4,FALSE()))</f>
        <v>Parcelaciones, edificaciones residenciales, industriales u otras en zonas rurales o de interfaz</v>
      </c>
      <c r="I208" s="74" t="str">
        <f>IF(E208="","",VLOOKUP(E208,Causas!$A$2:$E$90,5,FALSE()))</f>
        <v>Accidentales</v>
      </c>
      <c r="J208" s="18">
        <v>769397</v>
      </c>
      <c r="K208" s="18">
        <v>6058554</v>
      </c>
      <c r="L208" s="18">
        <v>0.3</v>
      </c>
      <c r="M208" s="18" t="s">
        <v>680</v>
      </c>
      <c r="N208" s="19" t="s">
        <v>783</v>
      </c>
      <c r="O208" s="31" t="s">
        <v>248</v>
      </c>
      <c r="P208" s="53">
        <v>46095</v>
      </c>
      <c r="Q208" s="40">
        <f t="shared" si="3"/>
        <v>3</v>
      </c>
      <c r="R208" s="40"/>
    </row>
    <row r="209" spans="1:18" x14ac:dyDescent="0.2">
      <c r="A209" s="17">
        <v>208</v>
      </c>
      <c r="B209" s="62" t="s">
        <v>254</v>
      </c>
      <c r="C209" s="18">
        <v>622</v>
      </c>
      <c r="D209" s="62" t="s">
        <v>587</v>
      </c>
      <c r="E209" s="18" t="s">
        <v>21</v>
      </c>
      <c r="F209" s="74" t="str">
        <f>IF(E209="","",VLOOKUP(E209,Causas!$A$2:$B$90,2,FALSE))</f>
        <v>Empleo de fuentes de calor en actividades relacionadas a parcelaciones (asados, tijerales, fogatas, otros)</v>
      </c>
      <c r="G209" s="70" t="str">
        <f>IF(E209="","",VLOOKUP(E209,Causas!$A$2:$D$90,3,FALSE()))</f>
        <v>4.6</v>
      </c>
      <c r="H209" s="74" t="str">
        <f>IF(E209="","",VLOOKUP(E209,Causas!$A$2:$D$90,4,FALSE()))</f>
        <v>Parcelaciones, edificaciones residenciales, industriales u otras en zonas rurales o de interfaz</v>
      </c>
      <c r="I209" s="74" t="str">
        <f>IF(E209="","",VLOOKUP(E209,Causas!$A$2:$E$90,5,FALSE()))</f>
        <v>Negligentes</v>
      </c>
      <c r="J209" s="18">
        <v>768989</v>
      </c>
      <c r="K209" s="18">
        <v>6033999</v>
      </c>
      <c r="L209" s="18">
        <v>0.1</v>
      </c>
      <c r="M209" s="18" t="s">
        <v>680</v>
      </c>
      <c r="N209" s="19" t="s">
        <v>784</v>
      </c>
      <c r="O209" s="31" t="s">
        <v>248</v>
      </c>
      <c r="P209" s="53">
        <v>46096</v>
      </c>
      <c r="Q209" s="40">
        <f t="shared" si="3"/>
        <v>3</v>
      </c>
      <c r="R209" s="40"/>
    </row>
    <row r="210" spans="1:18" x14ac:dyDescent="0.2">
      <c r="A210" s="17">
        <v>209</v>
      </c>
      <c r="B210" s="62" t="s">
        <v>271</v>
      </c>
      <c r="C210" s="18">
        <v>490</v>
      </c>
      <c r="D210" s="62" t="s">
        <v>588</v>
      </c>
      <c r="E210" s="18" t="s">
        <v>223</v>
      </c>
      <c r="F210" s="74" t="str">
        <f>IF(E210="","",VLOOKUP(E210,Causas!$A$2:$B$90,2,FALSE))</f>
        <v>Otras actividades negligentes no clasificadas</v>
      </c>
      <c r="G210" s="70" t="str">
        <f>IF(E210="","",VLOOKUP(E210,Causas!$A$2:$D$90,3,FALSE()))</f>
        <v>4.10</v>
      </c>
      <c r="H210" s="74" t="str">
        <f>IF(E210="","",VLOOKUP(E210,Causas!$A$2:$D$90,4,FALSE()))</f>
        <v>Otras causas</v>
      </c>
      <c r="I210" s="74" t="str">
        <f>IF(E210="","",VLOOKUP(E210,Causas!$A$2:$E$90,5,FALSE()))</f>
        <v>Negligentes</v>
      </c>
      <c r="J210" s="18">
        <v>768663</v>
      </c>
      <c r="K210" s="18">
        <v>6003310</v>
      </c>
      <c r="L210" s="18">
        <v>17</v>
      </c>
      <c r="M210" s="18" t="s">
        <v>680</v>
      </c>
      <c r="N210" s="19" t="s">
        <v>785</v>
      </c>
      <c r="O210" s="31" t="s">
        <v>248</v>
      </c>
      <c r="P210" s="53">
        <v>46062</v>
      </c>
      <c r="Q210" s="40">
        <f t="shared" si="3"/>
        <v>2</v>
      </c>
      <c r="R210" s="40"/>
    </row>
    <row r="211" spans="1:18" x14ac:dyDescent="0.2">
      <c r="A211" s="17">
        <v>210</v>
      </c>
      <c r="B211" s="62" t="s">
        <v>272</v>
      </c>
      <c r="C211" s="18">
        <v>579</v>
      </c>
      <c r="D211" s="62" t="s">
        <v>589</v>
      </c>
      <c r="E211" s="18" t="s">
        <v>189</v>
      </c>
      <c r="F211" s="74" t="str">
        <f>IF(E211="","",VLOOKUP(E211,Causas!$A$2:$B$90,2,FALSE))</f>
        <v>Combustión de la vegetación, producto del contacto o proximidad con el tendido eléctrico</v>
      </c>
      <c r="G211" s="70" t="str">
        <f>IF(E211="","",VLOOKUP(E211,Causas!$A$2:$D$90,3,FALSE()))</f>
        <v>4.9</v>
      </c>
      <c r="H211" s="74" t="str">
        <f>IF(E211="","",VLOOKUP(E211,Causas!$A$2:$D$90,4,FALSE()))</f>
        <v>Líneas eléctricas</v>
      </c>
      <c r="I211" s="74" t="str">
        <f>IF(E211="","",VLOOKUP(E211,Causas!$A$2:$E$90,5,FALSE()))</f>
        <v>Negligentes</v>
      </c>
      <c r="J211" s="18">
        <v>255982</v>
      </c>
      <c r="K211" s="18">
        <v>6051498</v>
      </c>
      <c r="L211" s="18">
        <v>0.1</v>
      </c>
      <c r="M211" s="18" t="s">
        <v>680</v>
      </c>
      <c r="N211" s="19" t="s">
        <v>786</v>
      </c>
      <c r="O211" s="31" t="s">
        <v>248</v>
      </c>
      <c r="P211" s="53">
        <v>46082</v>
      </c>
      <c r="Q211" s="40">
        <f t="shared" si="3"/>
        <v>3</v>
      </c>
      <c r="R211" s="40"/>
    </row>
    <row r="212" spans="1:18" x14ac:dyDescent="0.2">
      <c r="A212" s="17">
        <v>211</v>
      </c>
      <c r="B212" s="62" t="s">
        <v>248</v>
      </c>
      <c r="C212" s="18">
        <v>428</v>
      </c>
      <c r="D212" s="62" t="s">
        <v>590</v>
      </c>
      <c r="E212" s="18" t="s">
        <v>69</v>
      </c>
      <c r="F212" s="74" t="str">
        <f>IF(E212="","",VLOOKUP(E212,Causas!$A$2:$B$90,2,FALSE))</f>
        <v>Accidente o incendio de vehículo</v>
      </c>
      <c r="G212" s="70" t="str">
        <f>IF(E212="","",VLOOKUP(E212,Causas!$A$2:$D$90,3,FALSE()))</f>
        <v>1.7</v>
      </c>
      <c r="H212" s="74" t="str">
        <f>IF(E212="","",VLOOKUP(E212,Causas!$A$2:$D$90,4,FALSE()))</f>
        <v>Originados por desplazamiento de personas, vehículos o aeronaves</v>
      </c>
      <c r="I212" s="74" t="str">
        <f>IF(E212="","",VLOOKUP(E212,Causas!$A$2:$E$90,5,FALSE()))</f>
        <v>Accidentales</v>
      </c>
      <c r="J212" s="18">
        <v>266432</v>
      </c>
      <c r="K212" s="18">
        <v>6032669</v>
      </c>
      <c r="L212" s="18">
        <v>0.1</v>
      </c>
      <c r="M212" s="18" t="s">
        <v>680</v>
      </c>
      <c r="N212" s="19" t="s">
        <v>787</v>
      </c>
      <c r="O212" s="31" t="s">
        <v>248</v>
      </c>
      <c r="P212" s="53">
        <v>46047</v>
      </c>
      <c r="Q212" s="40">
        <f t="shared" si="3"/>
        <v>1</v>
      </c>
      <c r="R212" s="40"/>
    </row>
    <row r="213" spans="1:18" x14ac:dyDescent="0.2">
      <c r="A213" s="17">
        <v>212</v>
      </c>
      <c r="B213" s="62" t="s">
        <v>247</v>
      </c>
      <c r="C213" s="18">
        <v>156</v>
      </c>
      <c r="D213" s="62" t="s">
        <v>591</v>
      </c>
      <c r="E213" s="18" t="s">
        <v>207</v>
      </c>
      <c r="F213" s="74" t="str">
        <f>IF(E213="","",VLOOKUP(E213,Causas!$A$2:$B$90,2,FALSE))</f>
        <v>Acciones asociadas a fumar</v>
      </c>
      <c r="G213" s="70" t="str">
        <f>IF(E213="","",VLOOKUP(E213,Causas!$A$2:$D$90,3,FALSE()))</f>
        <v>4.10</v>
      </c>
      <c r="H213" s="74" t="str">
        <f>IF(E213="","",VLOOKUP(E213,Causas!$A$2:$D$90,4,FALSE()))</f>
        <v>Otras causas</v>
      </c>
      <c r="I213" s="74" t="str">
        <f>IF(E213="","",VLOOKUP(E213,Causas!$A$2:$E$90,5,FALSE()))</f>
        <v>Negligentes</v>
      </c>
      <c r="J213" s="18">
        <v>259000</v>
      </c>
      <c r="K213" s="18">
        <v>6018919</v>
      </c>
      <c r="L213" s="18">
        <v>0.2</v>
      </c>
      <c r="M213" s="18" t="s">
        <v>680</v>
      </c>
      <c r="N213" s="19" t="s">
        <v>788</v>
      </c>
      <c r="O213" s="31" t="s">
        <v>248</v>
      </c>
      <c r="P213" s="53">
        <v>45994</v>
      </c>
      <c r="Q213" s="40">
        <f t="shared" si="3"/>
        <v>12</v>
      </c>
      <c r="R213" s="40"/>
    </row>
    <row r="214" spans="1:18" x14ac:dyDescent="0.2">
      <c r="A214" s="17">
        <v>213</v>
      </c>
      <c r="B214" s="62" t="s">
        <v>247</v>
      </c>
      <c r="C214" s="18">
        <v>544</v>
      </c>
      <c r="D214" s="62" t="s">
        <v>303</v>
      </c>
      <c r="E214" s="18" t="s">
        <v>223</v>
      </c>
      <c r="F214" s="74" t="str">
        <f>IF(E214="","",VLOOKUP(E214,Causas!$A$2:$B$90,2,FALSE))</f>
        <v>Otras actividades negligentes no clasificadas</v>
      </c>
      <c r="G214" s="70" t="str">
        <f>IF(E214="","",VLOOKUP(E214,Causas!$A$2:$D$90,3,FALSE()))</f>
        <v>4.10</v>
      </c>
      <c r="H214" s="74" t="str">
        <f>IF(E214="","",VLOOKUP(E214,Causas!$A$2:$D$90,4,FALSE()))</f>
        <v>Otras causas</v>
      </c>
      <c r="I214" s="74" t="str">
        <f>IF(E214="","",VLOOKUP(E214,Causas!$A$2:$E$90,5,FALSE()))</f>
        <v>Negligentes</v>
      </c>
      <c r="J214" s="18">
        <v>256699</v>
      </c>
      <c r="K214" s="18">
        <v>6018406</v>
      </c>
      <c r="L214" s="18">
        <v>2.6</v>
      </c>
      <c r="M214" s="18" t="s">
        <v>680</v>
      </c>
      <c r="N214" s="19" t="s">
        <v>789</v>
      </c>
      <c r="O214" s="31" t="s">
        <v>248</v>
      </c>
      <c r="P214" s="53">
        <v>46074</v>
      </c>
      <c r="Q214" s="40">
        <f t="shared" si="3"/>
        <v>2</v>
      </c>
      <c r="R214" s="40"/>
    </row>
    <row r="215" spans="1:18" x14ac:dyDescent="0.2">
      <c r="A215" s="17">
        <v>214</v>
      </c>
      <c r="B215" s="62" t="s">
        <v>248</v>
      </c>
      <c r="C215" s="18">
        <v>316</v>
      </c>
      <c r="D215" s="62" t="s">
        <v>592</v>
      </c>
      <c r="E215" s="18" t="s">
        <v>14</v>
      </c>
      <c r="F215" s="74" t="str">
        <f>IF(E215="","",VLOOKUP(E215,Causas!$A$2:$B$90,2,FALSE))</f>
        <v>Quema no avisada con fines de limpieza en canales, cunetas, cercos o caminos (en predios particulares o públicos) que se propaga libre y sin control</v>
      </c>
      <c r="G215" s="70" t="str">
        <f>IF(E215="","",VLOOKUP(E215,Causas!$A$2:$D$90,3,FALSE()))</f>
        <v>4.8</v>
      </c>
      <c r="H215" s="74" t="str">
        <f>IF(E215="","",VLOOKUP(E215,Causas!$A$2:$D$90,4,FALSE()))</f>
        <v>Otras quemas</v>
      </c>
      <c r="I215" s="74" t="str">
        <f>IF(E215="","",VLOOKUP(E215,Causas!$A$2:$E$90,5,FALSE()))</f>
        <v>Negligentes</v>
      </c>
      <c r="J215" s="18">
        <v>262488</v>
      </c>
      <c r="K215" s="18">
        <v>6028200</v>
      </c>
      <c r="L215" s="18">
        <v>0.3</v>
      </c>
      <c r="M215" s="18" t="s">
        <v>680</v>
      </c>
      <c r="N215" s="19" t="s">
        <v>790</v>
      </c>
      <c r="O215" s="31" t="s">
        <v>248</v>
      </c>
      <c r="P215" s="53">
        <v>46024</v>
      </c>
      <c r="Q215" s="40">
        <f t="shared" si="3"/>
        <v>1</v>
      </c>
      <c r="R215" s="40"/>
    </row>
    <row r="216" spans="1:18" x14ac:dyDescent="0.2">
      <c r="A216" s="17">
        <v>215</v>
      </c>
      <c r="B216" s="62" t="s">
        <v>256</v>
      </c>
      <c r="C216" s="18">
        <v>489</v>
      </c>
      <c r="D216" s="62" t="s">
        <v>593</v>
      </c>
      <c r="E216" s="18" t="s">
        <v>233</v>
      </c>
      <c r="F216" s="74" t="str">
        <f>IF(E216="","",VLOOKUP(E216,Causas!$A$2:$B$90,2,FALSE))</f>
        <v>Se investiga pero no es posible establecer la causa</v>
      </c>
      <c r="G216" s="70" t="str">
        <f>IF(E216="","",VLOOKUP(E216,Causas!$A$2:$D$90,3,FALSE()))</f>
        <v>5.1</v>
      </c>
      <c r="H216" s="74" t="str">
        <f>IF(E216="","",VLOOKUP(E216,Causas!$A$2:$D$90,4,FALSE()))</f>
        <v>Incendios de causa indeterminada</v>
      </c>
      <c r="I216" s="74" t="str">
        <f>IF(E216="","",VLOOKUP(E216,Causas!$A$2:$E$90,5,FALSE()))</f>
        <v>Indeterminadas</v>
      </c>
      <c r="J216" s="18">
        <v>286585</v>
      </c>
      <c r="K216" s="18">
        <v>6098588</v>
      </c>
      <c r="L216" s="18">
        <v>38.5</v>
      </c>
      <c r="M216" s="18" t="s">
        <v>680</v>
      </c>
      <c r="N216" s="19" t="s">
        <v>791</v>
      </c>
      <c r="O216" s="31" t="s">
        <v>242</v>
      </c>
      <c r="P216" s="53">
        <v>46061</v>
      </c>
      <c r="Q216" s="40">
        <f t="shared" si="3"/>
        <v>2</v>
      </c>
      <c r="R216" s="40"/>
    </row>
    <row r="217" spans="1:18" x14ac:dyDescent="0.2">
      <c r="A217" s="17">
        <v>216</v>
      </c>
      <c r="B217" s="62" t="s">
        <v>256</v>
      </c>
      <c r="C217" s="18">
        <v>602</v>
      </c>
      <c r="D217" s="62" t="s">
        <v>594</v>
      </c>
      <c r="E217" s="18" t="s">
        <v>233</v>
      </c>
      <c r="F217" s="74" t="str">
        <f>IF(E217="","",VLOOKUP(E217,Causas!$A$2:$B$90,2,FALSE))</f>
        <v>Se investiga pero no es posible establecer la causa</v>
      </c>
      <c r="G217" s="70" t="str">
        <f>IF(E217="","",VLOOKUP(E217,Causas!$A$2:$D$90,3,FALSE()))</f>
        <v>5.1</v>
      </c>
      <c r="H217" s="74" t="str">
        <f>IF(E217="","",VLOOKUP(E217,Causas!$A$2:$D$90,4,FALSE()))</f>
        <v>Incendios de causa indeterminada</v>
      </c>
      <c r="I217" s="74" t="str">
        <f>IF(E217="","",VLOOKUP(E217,Causas!$A$2:$E$90,5,FALSE()))</f>
        <v>Indeterminadas</v>
      </c>
      <c r="J217" s="18">
        <v>286922</v>
      </c>
      <c r="K217" s="18">
        <v>6098976</v>
      </c>
      <c r="L217" s="18">
        <v>11</v>
      </c>
      <c r="M217" s="18" t="s">
        <v>680</v>
      </c>
      <c r="N217" s="19" t="s">
        <v>792</v>
      </c>
      <c r="O217" s="31" t="s">
        <v>242</v>
      </c>
      <c r="P217" s="53">
        <v>46089</v>
      </c>
      <c r="Q217" s="40">
        <f t="shared" si="3"/>
        <v>3</v>
      </c>
      <c r="R217" s="40"/>
    </row>
    <row r="218" spans="1:18" x14ac:dyDescent="0.2">
      <c r="A218" s="17">
        <v>217</v>
      </c>
      <c r="B218" s="62" t="s">
        <v>265</v>
      </c>
      <c r="C218" s="18">
        <v>407</v>
      </c>
      <c r="D218" s="62" t="s">
        <v>595</v>
      </c>
      <c r="E218" s="18" t="s">
        <v>233</v>
      </c>
      <c r="F218" s="74" t="str">
        <f>IF(E218="","",VLOOKUP(E218,Causas!$A$2:$B$90,2,FALSE))</f>
        <v>Se investiga pero no es posible establecer la causa</v>
      </c>
      <c r="G218" s="70" t="str">
        <f>IF(E218="","",VLOOKUP(E218,Causas!$A$2:$D$90,3,FALSE()))</f>
        <v>5.1</v>
      </c>
      <c r="H218" s="74" t="str">
        <f>IF(E218="","",VLOOKUP(E218,Causas!$A$2:$D$90,4,FALSE()))</f>
        <v>Incendios de causa indeterminada</v>
      </c>
      <c r="I218" s="74" t="str">
        <f>IF(E218="","",VLOOKUP(E218,Causas!$A$2:$E$90,5,FALSE()))</f>
        <v>Indeterminadas</v>
      </c>
      <c r="J218" s="18">
        <v>271490</v>
      </c>
      <c r="K218" s="18">
        <v>6054711</v>
      </c>
      <c r="L218" s="18">
        <v>1.8</v>
      </c>
      <c r="M218" s="18" t="s">
        <v>680</v>
      </c>
      <c r="N218" s="19" t="s">
        <v>793</v>
      </c>
      <c r="O218" s="31" t="s">
        <v>248</v>
      </c>
      <c r="P218" s="53">
        <v>46042</v>
      </c>
      <c r="Q218" s="40">
        <f t="shared" si="3"/>
        <v>1</v>
      </c>
      <c r="R218" s="40"/>
    </row>
    <row r="219" spans="1:18" x14ac:dyDescent="0.2">
      <c r="A219" s="17">
        <v>218</v>
      </c>
      <c r="B219" s="62" t="s">
        <v>265</v>
      </c>
      <c r="C219" s="18">
        <v>438</v>
      </c>
      <c r="D219" s="62" t="s">
        <v>596</v>
      </c>
      <c r="E219" s="18" t="s">
        <v>160</v>
      </c>
      <c r="F219" s="74" t="str">
        <f>IF(E219="","",VLOOKUP(E219,Causas!$A$2:$B$90,2,FALSE))</f>
        <v>Rebrote de incendio anterior, declarado extinto</v>
      </c>
      <c r="G219" s="70" t="str">
        <f>IF(E219="","",VLOOKUP(E219,Causas!$A$2:$D$90,3,FALSE()))</f>
        <v>4.5</v>
      </c>
      <c r="H219" s="74" t="str">
        <f>IF(E219="","",VLOOKUP(E219,Causas!$A$2:$D$90,4,FALSE()))</f>
        <v>Actividades de control y extinción de incendios forestales</v>
      </c>
      <c r="I219" s="74" t="str">
        <f>IF(E219="","",VLOOKUP(E219,Causas!$A$2:$E$90,5,FALSE()))</f>
        <v>Negligentes</v>
      </c>
      <c r="J219" s="18">
        <v>271636</v>
      </c>
      <c r="K219" s="18">
        <v>6054756</v>
      </c>
      <c r="L219" s="18">
        <v>5.9</v>
      </c>
      <c r="M219" s="18" t="s">
        <v>680</v>
      </c>
      <c r="N219" s="19" t="s">
        <v>794</v>
      </c>
      <c r="O219" s="31" t="s">
        <v>248</v>
      </c>
      <c r="P219" s="53">
        <v>46050</v>
      </c>
      <c r="Q219" s="40">
        <f t="shared" si="3"/>
        <v>1</v>
      </c>
      <c r="R219" s="40"/>
    </row>
    <row r="220" spans="1:18" x14ac:dyDescent="0.2">
      <c r="A220" s="17">
        <v>219</v>
      </c>
      <c r="B220" s="62" t="s">
        <v>248</v>
      </c>
      <c r="C220" s="18">
        <v>384</v>
      </c>
      <c r="D220" s="62" t="s">
        <v>597</v>
      </c>
      <c r="E220" s="18" t="s">
        <v>140</v>
      </c>
      <c r="F220" s="74" t="str">
        <f>IF(E220="","",VLOOKUP(E220,Causas!$A$2:$B$90,2,FALSE))</f>
        <v>Partícula incandescente generada sin roce por vehículo, maquinaria o herramienta agrícola</v>
      </c>
      <c r="G220" s="70" t="str">
        <f>IF(E220="","",VLOOKUP(E220,Causas!$A$2:$D$90,3,FALSE()))</f>
        <v>4.2</v>
      </c>
      <c r="H220" s="74" t="str">
        <f>IF(E220="","",VLOOKUP(E220,Causas!$A$2:$D$90,4,FALSE()))</f>
        <v>Faenas agrícolas y pecuarias</v>
      </c>
      <c r="I220" s="74" t="str">
        <f>IF(E220="","",VLOOKUP(E220,Causas!$A$2:$E$90,5,FALSE()))</f>
        <v>Negligentes</v>
      </c>
      <c r="J220" s="18">
        <v>261953</v>
      </c>
      <c r="K220" s="18">
        <v>6030609</v>
      </c>
      <c r="L220" s="18">
        <v>1.8</v>
      </c>
      <c r="M220" s="18" t="s">
        <v>680</v>
      </c>
      <c r="N220" s="19" t="s">
        <v>795</v>
      </c>
      <c r="O220" s="31" t="s">
        <v>248</v>
      </c>
      <c r="P220" s="53">
        <v>46038</v>
      </c>
      <c r="Q220" s="40">
        <f t="shared" si="3"/>
        <v>1</v>
      </c>
      <c r="R220" s="40"/>
    </row>
    <row r="221" spans="1:18" x14ac:dyDescent="0.2">
      <c r="A221" s="17">
        <v>220</v>
      </c>
      <c r="B221" s="62" t="s">
        <v>248</v>
      </c>
      <c r="C221" s="18">
        <v>519</v>
      </c>
      <c r="D221" s="62" t="s">
        <v>598</v>
      </c>
      <c r="E221" s="18" t="s">
        <v>148</v>
      </c>
      <c r="F221" s="74" t="str">
        <f>IF(E221="","",VLOOKUP(E221,Causas!$A$2:$B$90,2,FALSE))</f>
        <v>Otras causas negligentes no clasificadas en faenas agrícolas y pecuarias</v>
      </c>
      <c r="G221" s="70" t="str">
        <f>IF(E221="","",VLOOKUP(E221,Causas!$A$2:$D$90,3,FALSE()))</f>
        <v>4.2</v>
      </c>
      <c r="H221" s="74" t="str">
        <f>IF(E221="","",VLOOKUP(E221,Causas!$A$2:$D$90,4,FALSE()))</f>
        <v>Faenas agrícolas y pecuarias</v>
      </c>
      <c r="I221" s="74" t="str">
        <f>IF(E221="","",VLOOKUP(E221,Causas!$A$2:$E$90,5,FALSE()))</f>
        <v>Negligentes</v>
      </c>
      <c r="J221" s="18">
        <v>257321</v>
      </c>
      <c r="K221" s="18">
        <v>6028875</v>
      </c>
      <c r="L221" s="18">
        <v>8.5</v>
      </c>
      <c r="M221" s="18" t="s">
        <v>680</v>
      </c>
      <c r="N221" s="19" t="s">
        <v>796</v>
      </c>
      <c r="O221" s="31" t="s">
        <v>248</v>
      </c>
      <c r="P221" s="53">
        <v>46066</v>
      </c>
      <c r="Q221" s="40">
        <f t="shared" si="3"/>
        <v>2</v>
      </c>
      <c r="R221" s="40"/>
    </row>
    <row r="222" spans="1:18" x14ac:dyDescent="0.2">
      <c r="A222" s="17">
        <v>221</v>
      </c>
      <c r="B222" s="62" t="s">
        <v>248</v>
      </c>
      <c r="C222" s="18">
        <v>411</v>
      </c>
      <c r="D222" s="62" t="s">
        <v>303</v>
      </c>
      <c r="E222" s="18" t="s">
        <v>20</v>
      </c>
      <c r="F222" s="74" t="str">
        <f>IF(E222="","",VLOOKUP(E222,Causas!$A$2:$B$90,2,FALSE))</f>
        <v>Empleo de fuentes de calor en faena de extracción y/o confección de leña no industrial</v>
      </c>
      <c r="G222" s="70" t="str">
        <f>IF(E222="","",VLOOKUP(E222,Causas!$A$2:$D$90,3,FALSE()))</f>
        <v>4.11</v>
      </c>
      <c r="H222" s="74" t="str">
        <f>IF(E222="","",VLOOKUP(E222,Causas!$A$2:$D$90,4,FALSE()))</f>
        <v>Producción y/o extracción de productos y/o derivados del bosque</v>
      </c>
      <c r="I222" s="74" t="str">
        <f>IF(E222="","",VLOOKUP(E222,Causas!$A$2:$E$90,5,FALSE()))</f>
        <v>Negligentes</v>
      </c>
      <c r="J222" s="18">
        <v>270164</v>
      </c>
      <c r="K222" s="18">
        <v>6026740</v>
      </c>
      <c r="L222" s="18">
        <v>3.5</v>
      </c>
      <c r="M222" s="18" t="s">
        <v>680</v>
      </c>
      <c r="N222" s="19" t="s">
        <v>797</v>
      </c>
      <c r="O222" s="31" t="s">
        <v>248</v>
      </c>
      <c r="P222" s="53">
        <v>46043</v>
      </c>
      <c r="Q222" s="40">
        <f t="shared" si="3"/>
        <v>1</v>
      </c>
      <c r="R222" s="40"/>
    </row>
    <row r="223" spans="1:18" x14ac:dyDescent="0.2">
      <c r="A223" s="17">
        <v>222</v>
      </c>
      <c r="B223" s="62" t="s">
        <v>12</v>
      </c>
      <c r="C223" s="18">
        <v>617</v>
      </c>
      <c r="D223" s="62" t="s">
        <v>599</v>
      </c>
      <c r="E223" s="18" t="s">
        <v>207</v>
      </c>
      <c r="F223" s="74" t="str">
        <f>IF(E223="","",VLOOKUP(E223,Causas!$A$2:$B$90,2,FALSE))</f>
        <v>Acciones asociadas a fumar</v>
      </c>
      <c r="G223" s="70" t="str">
        <f>IF(E223="","",VLOOKUP(E223,Causas!$A$2:$D$90,3,FALSE()))</f>
        <v>4.10</v>
      </c>
      <c r="H223" s="74" t="str">
        <f>IF(E223="","",VLOOKUP(E223,Causas!$A$2:$D$90,4,FALSE()))</f>
        <v>Otras causas</v>
      </c>
      <c r="I223" s="74" t="str">
        <f>IF(E223="","",VLOOKUP(E223,Causas!$A$2:$E$90,5,FALSE()))</f>
        <v>Negligentes</v>
      </c>
      <c r="J223" s="18">
        <v>247675</v>
      </c>
      <c r="K223" s="18">
        <v>6070700</v>
      </c>
      <c r="L223" s="18">
        <v>4.3</v>
      </c>
      <c r="M223" s="18" t="s">
        <v>680</v>
      </c>
      <c r="N223" s="19" t="s">
        <v>798</v>
      </c>
      <c r="O223" s="31" t="s">
        <v>242</v>
      </c>
      <c r="P223" s="53">
        <v>46095</v>
      </c>
      <c r="Q223" s="40">
        <f t="shared" si="3"/>
        <v>3</v>
      </c>
      <c r="R223" s="40"/>
    </row>
    <row r="224" spans="1:18" x14ac:dyDescent="0.2">
      <c r="A224" s="17">
        <v>223</v>
      </c>
      <c r="B224" s="62" t="s">
        <v>12</v>
      </c>
      <c r="C224" s="18">
        <v>639</v>
      </c>
      <c r="D224" s="62" t="s">
        <v>600</v>
      </c>
      <c r="E224" s="18" t="s">
        <v>65</v>
      </c>
      <c r="F224" s="74" t="str">
        <f>IF(E224="","",VLOOKUP(E224,Causas!$A$2:$B$90,2,FALSE))</f>
        <v>Incendio estructural</v>
      </c>
      <c r="G224" s="70" t="str">
        <f>IF(E224="","",VLOOKUP(E224,Causas!$A$2:$D$90,3,FALSE()))</f>
        <v>1.6</v>
      </c>
      <c r="H224" s="74" t="str">
        <f>IF(E224="","",VLOOKUP(E224,Causas!$A$2:$D$90,4,FALSE()))</f>
        <v>Parcelaciones, edificaciones residenciales, industriales u otras en zonas rurales o de interfaz</v>
      </c>
      <c r="I224" s="74" t="str">
        <f>IF(E224="","",VLOOKUP(E224,Causas!$A$2:$E$90,5,FALSE()))</f>
        <v>Accidentales</v>
      </c>
      <c r="J224" s="18">
        <v>253124</v>
      </c>
      <c r="K224" s="18">
        <v>6071801</v>
      </c>
      <c r="L224" s="18">
        <v>3</v>
      </c>
      <c r="M224" s="18" t="s">
        <v>680</v>
      </c>
      <c r="N224" s="19" t="s">
        <v>799</v>
      </c>
      <c r="O224" s="31" t="s">
        <v>242</v>
      </c>
      <c r="P224" s="53">
        <v>46108</v>
      </c>
      <c r="Q224" s="40">
        <f t="shared" si="3"/>
        <v>3</v>
      </c>
      <c r="R224" s="40"/>
    </row>
    <row r="225" spans="1:18" x14ac:dyDescent="0.2">
      <c r="A225" s="17">
        <v>224</v>
      </c>
      <c r="B225" s="62" t="s">
        <v>246</v>
      </c>
      <c r="C225" s="18">
        <v>427</v>
      </c>
      <c r="D225" s="62" t="s">
        <v>601</v>
      </c>
      <c r="E225" s="18" t="s">
        <v>134</v>
      </c>
      <c r="F225" s="74" t="str">
        <f>IF(E225="","",VLOOKUP(E225,Causas!$A$2:$B$90,2,FALSE))</f>
        <v>Quema no avisada de desechos agrícolas que se propaga libre y sin control</v>
      </c>
      <c r="G225" s="70" t="str">
        <f>IF(E225="","",VLOOKUP(E225,Causas!$A$2:$D$90,3,FALSE()))</f>
        <v>4.2</v>
      </c>
      <c r="H225" s="74" t="str">
        <f>IF(E225="","",VLOOKUP(E225,Causas!$A$2:$D$90,4,FALSE()))</f>
        <v>Faenas agrícolas y pecuarias</v>
      </c>
      <c r="I225" s="74" t="str">
        <f>IF(E225="","",VLOOKUP(E225,Causas!$A$2:$E$90,5,FALSE()))</f>
        <v>Negligentes</v>
      </c>
      <c r="J225" s="18">
        <v>296686</v>
      </c>
      <c r="K225" s="18">
        <v>6112478</v>
      </c>
      <c r="L225" s="18">
        <v>1</v>
      </c>
      <c r="M225" s="18" t="s">
        <v>680</v>
      </c>
      <c r="N225" s="19" t="s">
        <v>800</v>
      </c>
      <c r="O225" s="31" t="s">
        <v>253</v>
      </c>
      <c r="P225" s="53">
        <v>46046</v>
      </c>
      <c r="Q225" s="40">
        <f t="shared" si="3"/>
        <v>1</v>
      </c>
      <c r="R225" s="40"/>
    </row>
    <row r="226" spans="1:18" x14ac:dyDescent="0.2">
      <c r="A226" s="17">
        <v>225</v>
      </c>
      <c r="B226" s="62" t="s">
        <v>246</v>
      </c>
      <c r="C226" s="18">
        <v>408</v>
      </c>
      <c r="D226" s="62" t="s">
        <v>602</v>
      </c>
      <c r="E226" s="18" t="s">
        <v>148</v>
      </c>
      <c r="F226" s="74" t="str">
        <f>IF(E226="","",VLOOKUP(E226,Causas!$A$2:$B$90,2,FALSE))</f>
        <v>Otras causas negligentes no clasificadas en faenas agrícolas y pecuarias</v>
      </c>
      <c r="G226" s="70" t="str">
        <f>IF(E226="","",VLOOKUP(E226,Causas!$A$2:$D$90,3,FALSE()))</f>
        <v>4.2</v>
      </c>
      <c r="H226" s="74" t="str">
        <f>IF(E226="","",VLOOKUP(E226,Causas!$A$2:$D$90,4,FALSE()))</f>
        <v>Faenas agrícolas y pecuarias</v>
      </c>
      <c r="I226" s="74" t="str">
        <f>IF(E226="","",VLOOKUP(E226,Causas!$A$2:$E$90,5,FALSE()))</f>
        <v>Negligentes</v>
      </c>
      <c r="J226" s="18">
        <v>297255</v>
      </c>
      <c r="K226" s="18">
        <v>6113189</v>
      </c>
      <c r="L226" s="18">
        <v>1.2</v>
      </c>
      <c r="M226" s="18" t="s">
        <v>680</v>
      </c>
      <c r="N226" s="19" t="s">
        <v>801</v>
      </c>
      <c r="O226" s="31" t="s">
        <v>253</v>
      </c>
      <c r="P226" s="53">
        <v>46042</v>
      </c>
      <c r="Q226" s="40">
        <f t="shared" si="3"/>
        <v>1</v>
      </c>
      <c r="R226" s="40"/>
    </row>
    <row r="227" spans="1:18" x14ac:dyDescent="0.2">
      <c r="A227" s="17">
        <v>226</v>
      </c>
      <c r="B227" s="62" t="s">
        <v>246</v>
      </c>
      <c r="C227" s="18">
        <v>563</v>
      </c>
      <c r="D227" s="62" t="s">
        <v>603</v>
      </c>
      <c r="E227" s="18" t="s">
        <v>101</v>
      </c>
      <c r="F227" s="74" t="str">
        <f>IF(E227="","",VLOOKUP(E227,Causas!$A$2:$B$90,2,FALSE))</f>
        <v>Obtención beneficios económicos (compra de madera, presión por trabajo, robo  maderero, otros)</v>
      </c>
      <c r="G227" s="70" t="str">
        <f>IF(E227="","",VLOOKUP(E227,Causas!$A$2:$D$90,3,FALSE()))</f>
        <v>2.1</v>
      </c>
      <c r="H227" s="74" t="str">
        <f>IF(E227="","",VLOOKUP(E227,Causas!$A$2:$D$90,4,FALSE()))</f>
        <v>Incendios intencionales</v>
      </c>
      <c r="I227" s="74" t="str">
        <f>IF(E227="","",VLOOKUP(E227,Causas!$A$2:$E$90,5,FALSE()))</f>
        <v>Intencionales</v>
      </c>
      <c r="J227" s="18">
        <v>296052</v>
      </c>
      <c r="K227" s="18">
        <v>6114278</v>
      </c>
      <c r="L227" s="18">
        <v>0.15</v>
      </c>
      <c r="M227" s="18" t="s">
        <v>680</v>
      </c>
      <c r="N227" s="19" t="s">
        <v>802</v>
      </c>
      <c r="O227" s="31" t="s">
        <v>253</v>
      </c>
      <c r="P227" s="53">
        <v>46078</v>
      </c>
      <c r="Q227" s="40">
        <f t="shared" si="3"/>
        <v>2</v>
      </c>
      <c r="R227" s="40"/>
    </row>
    <row r="228" spans="1:18" x14ac:dyDescent="0.2">
      <c r="A228" s="17">
        <v>227</v>
      </c>
      <c r="B228" s="62" t="s">
        <v>245</v>
      </c>
      <c r="C228" s="18">
        <v>486</v>
      </c>
      <c r="D228" s="62" t="s">
        <v>604</v>
      </c>
      <c r="E228" s="18" t="s">
        <v>189</v>
      </c>
      <c r="F228" s="74" t="str">
        <f>IF(E228="","",VLOOKUP(E228,Causas!$A$2:$B$90,2,FALSE))</f>
        <v>Combustión de la vegetación, producto del contacto o proximidad con el tendido eléctrico</v>
      </c>
      <c r="G228" s="70" t="str">
        <f>IF(E228="","",VLOOKUP(E228,Causas!$A$2:$D$90,3,FALSE()))</f>
        <v>4.9</v>
      </c>
      <c r="H228" s="74" t="str">
        <f>IF(E228="","",VLOOKUP(E228,Causas!$A$2:$D$90,4,FALSE()))</f>
        <v>Líneas eléctricas</v>
      </c>
      <c r="I228" s="74" t="str">
        <f>IF(E228="","",VLOOKUP(E228,Causas!$A$2:$E$90,5,FALSE()))</f>
        <v>Negligentes</v>
      </c>
      <c r="J228" s="18">
        <v>249622</v>
      </c>
      <c r="K228" s="18">
        <v>6093544</v>
      </c>
      <c r="L228" s="18">
        <v>0.3</v>
      </c>
      <c r="M228" s="18" t="s">
        <v>680</v>
      </c>
      <c r="N228" s="19" t="s">
        <v>803</v>
      </c>
      <c r="O228" s="31" t="s">
        <v>242</v>
      </c>
      <c r="P228" s="53">
        <v>46061</v>
      </c>
      <c r="Q228" s="40">
        <f t="shared" si="3"/>
        <v>2</v>
      </c>
      <c r="R228" s="40"/>
    </row>
    <row r="229" spans="1:18" x14ac:dyDescent="0.2">
      <c r="A229" s="17">
        <v>228</v>
      </c>
      <c r="B229" s="62" t="s">
        <v>245</v>
      </c>
      <c r="C229" s="18">
        <v>446</v>
      </c>
      <c r="D229" s="62" t="s">
        <v>605</v>
      </c>
      <c r="E229" s="18" t="s">
        <v>233</v>
      </c>
      <c r="F229" s="74" t="str">
        <f>IF(E229="","",VLOOKUP(E229,Causas!$A$2:$B$90,2,FALSE))</f>
        <v>Se investiga pero no es posible establecer la causa</v>
      </c>
      <c r="G229" s="70" t="str">
        <f>IF(E229="","",VLOOKUP(E229,Causas!$A$2:$D$90,3,FALSE()))</f>
        <v>5.1</v>
      </c>
      <c r="H229" s="74" t="str">
        <f>IF(E229="","",VLOOKUP(E229,Causas!$A$2:$D$90,4,FALSE()))</f>
        <v>Incendios de causa indeterminada</v>
      </c>
      <c r="I229" s="74" t="str">
        <f>IF(E229="","",VLOOKUP(E229,Causas!$A$2:$E$90,5,FALSE()))</f>
        <v>Indeterminadas</v>
      </c>
      <c r="J229" s="18">
        <v>251007</v>
      </c>
      <c r="K229" s="18">
        <v>6085557</v>
      </c>
      <c r="L229" s="18">
        <v>3.69</v>
      </c>
      <c r="M229" s="18" t="s">
        <v>680</v>
      </c>
      <c r="N229" s="19" t="s">
        <v>804</v>
      </c>
      <c r="O229" s="31" t="s">
        <v>242</v>
      </c>
      <c r="P229" s="53">
        <v>46051</v>
      </c>
      <c r="Q229" s="40">
        <f t="shared" si="3"/>
        <v>1</v>
      </c>
      <c r="R229" s="40"/>
    </row>
    <row r="230" spans="1:18" x14ac:dyDescent="0.2">
      <c r="A230" s="17">
        <v>229</v>
      </c>
      <c r="B230" s="62" t="s">
        <v>245</v>
      </c>
      <c r="C230" s="18">
        <v>600</v>
      </c>
      <c r="D230" s="62" t="s">
        <v>522</v>
      </c>
      <c r="E230" s="18" t="s">
        <v>165</v>
      </c>
      <c r="F230" s="74" t="str">
        <f>IF(E230="","",VLOOKUP(E230,Causas!$A$2:$B$90,2,FALSE))</f>
        <v>Generado por el uso de equipos o herramientas con fines de construcción, limpieza o montaje de estructuras</v>
      </c>
      <c r="G230" s="70" t="str">
        <f>IF(E230="","",VLOOKUP(E230,Causas!$A$2:$D$90,3,FALSE()))</f>
        <v>4.6</v>
      </c>
      <c r="H230" s="74" t="str">
        <f>IF(E230="","",VLOOKUP(E230,Causas!$A$2:$D$90,4,FALSE()))</f>
        <v>Parcelaciones, edificaciones residenciales, industriales u otras en zonas rurales o de interfaz</v>
      </c>
      <c r="I230" s="74" t="str">
        <f>IF(E230="","",VLOOKUP(E230,Causas!$A$2:$E$90,5,FALSE()))</f>
        <v>Negligentes</v>
      </c>
      <c r="J230" s="18">
        <v>244933</v>
      </c>
      <c r="K230" s="18">
        <v>6078215</v>
      </c>
      <c r="L230" s="18">
        <v>1</v>
      </c>
      <c r="M230" s="18" t="s">
        <v>680</v>
      </c>
      <c r="N230" s="19" t="s">
        <v>805</v>
      </c>
      <c r="O230" s="31" t="s">
        <v>242</v>
      </c>
      <c r="P230" s="53">
        <v>46088</v>
      </c>
      <c r="Q230" s="40">
        <f t="shared" si="3"/>
        <v>3</v>
      </c>
      <c r="R230" s="40"/>
    </row>
    <row r="231" spans="1:18" x14ac:dyDescent="0.2">
      <c r="A231" s="17">
        <v>230</v>
      </c>
      <c r="B231" s="62" t="s">
        <v>12</v>
      </c>
      <c r="C231" s="18">
        <v>543</v>
      </c>
      <c r="D231" s="62" t="s">
        <v>606</v>
      </c>
      <c r="E231" s="18" t="s">
        <v>223</v>
      </c>
      <c r="F231" s="74" t="str">
        <f>IF(E231="","",VLOOKUP(E231,Causas!$A$2:$B$90,2,FALSE))</f>
        <v>Otras actividades negligentes no clasificadas</v>
      </c>
      <c r="G231" s="70" t="str">
        <f>IF(E231="","",VLOOKUP(E231,Causas!$A$2:$D$90,3,FALSE()))</f>
        <v>4.10</v>
      </c>
      <c r="H231" s="74" t="str">
        <f>IF(E231="","",VLOOKUP(E231,Causas!$A$2:$D$90,4,FALSE()))</f>
        <v>Otras causas</v>
      </c>
      <c r="I231" s="74" t="str">
        <f>IF(E231="","",VLOOKUP(E231,Causas!$A$2:$E$90,5,FALSE()))</f>
        <v>Negligentes</v>
      </c>
      <c r="J231" s="18">
        <v>255549</v>
      </c>
      <c r="K231" s="18">
        <v>6062521</v>
      </c>
      <c r="L231" s="18">
        <v>0.2</v>
      </c>
      <c r="M231" s="18" t="s">
        <v>681</v>
      </c>
      <c r="N231" s="19" t="s">
        <v>806</v>
      </c>
      <c r="O231" s="31" t="s">
        <v>242</v>
      </c>
      <c r="P231" s="53">
        <v>46074</v>
      </c>
      <c r="Q231" s="40">
        <f t="shared" si="3"/>
        <v>2</v>
      </c>
      <c r="R231" s="40"/>
    </row>
    <row r="232" spans="1:18" x14ac:dyDescent="0.2">
      <c r="A232" s="17">
        <v>231</v>
      </c>
      <c r="B232" s="62" t="s">
        <v>12</v>
      </c>
      <c r="C232" s="18">
        <v>319</v>
      </c>
      <c r="D232" s="62" t="s">
        <v>607</v>
      </c>
      <c r="E232" s="18" t="s">
        <v>223</v>
      </c>
      <c r="F232" s="74" t="str">
        <f>IF(E232="","",VLOOKUP(E232,Causas!$A$2:$B$90,2,FALSE))</f>
        <v>Otras actividades negligentes no clasificadas</v>
      </c>
      <c r="G232" s="70" t="str">
        <f>IF(E232="","",VLOOKUP(E232,Causas!$A$2:$D$90,3,FALSE()))</f>
        <v>4.10</v>
      </c>
      <c r="H232" s="74" t="str">
        <f>IF(E232="","",VLOOKUP(E232,Causas!$A$2:$D$90,4,FALSE()))</f>
        <v>Otras causas</v>
      </c>
      <c r="I232" s="74" t="str">
        <f>IF(E232="","",VLOOKUP(E232,Causas!$A$2:$E$90,5,FALSE()))</f>
        <v>Negligentes</v>
      </c>
      <c r="J232" s="18">
        <v>259352</v>
      </c>
      <c r="K232" s="18">
        <v>6071540</v>
      </c>
      <c r="L232" s="18">
        <v>0.2</v>
      </c>
      <c r="M232" s="18" t="s">
        <v>681</v>
      </c>
      <c r="N232" s="19" t="s">
        <v>807</v>
      </c>
      <c r="O232" s="31" t="s">
        <v>242</v>
      </c>
      <c r="P232" s="53">
        <v>46025</v>
      </c>
      <c r="Q232" s="40">
        <f t="shared" si="3"/>
        <v>1</v>
      </c>
      <c r="R232" s="40"/>
    </row>
    <row r="233" spans="1:18" x14ac:dyDescent="0.2">
      <c r="A233" s="17">
        <v>232</v>
      </c>
      <c r="B233" s="62" t="s">
        <v>253</v>
      </c>
      <c r="C233" s="18">
        <v>509</v>
      </c>
      <c r="D233" s="62" t="s">
        <v>608</v>
      </c>
      <c r="E233" s="18" t="s">
        <v>148</v>
      </c>
      <c r="F233" s="74" t="str">
        <f>IF(E233="","",VLOOKUP(E233,Causas!$A$2:$B$90,2,FALSE))</f>
        <v>Otras causas negligentes no clasificadas en faenas agrícolas y pecuarias</v>
      </c>
      <c r="G233" s="70" t="str">
        <f>IF(E233="","",VLOOKUP(E233,Causas!$A$2:$D$90,3,FALSE()))</f>
        <v>4.2</v>
      </c>
      <c r="H233" s="74" t="str">
        <f>IF(E233="","",VLOOKUP(E233,Causas!$A$2:$D$90,4,FALSE()))</f>
        <v>Faenas agrícolas y pecuarias</v>
      </c>
      <c r="I233" s="74" t="str">
        <f>IF(E233="","",VLOOKUP(E233,Causas!$A$2:$E$90,5,FALSE()))</f>
        <v>Negligentes</v>
      </c>
      <c r="J233" s="18">
        <v>290205</v>
      </c>
      <c r="K233" s="18">
        <v>6127676</v>
      </c>
      <c r="L233" s="18">
        <v>2.5</v>
      </c>
      <c r="M233" s="18" t="s">
        <v>681</v>
      </c>
      <c r="N233" s="19" t="s">
        <v>808</v>
      </c>
      <c r="O233" s="31" t="s">
        <v>253</v>
      </c>
      <c r="P233" s="53">
        <v>46065</v>
      </c>
      <c r="Q233" s="40">
        <f t="shared" si="3"/>
        <v>2</v>
      </c>
      <c r="R233" s="40"/>
    </row>
    <row r="234" spans="1:18" x14ac:dyDescent="0.2">
      <c r="A234" s="17">
        <v>233</v>
      </c>
      <c r="B234" s="62" t="s">
        <v>253</v>
      </c>
      <c r="C234" s="18">
        <v>477</v>
      </c>
      <c r="D234" s="62" t="s">
        <v>609</v>
      </c>
      <c r="E234" s="18" t="s">
        <v>148</v>
      </c>
      <c r="F234" s="74" t="str">
        <f>IF(E234="","",VLOOKUP(E234,Causas!$A$2:$B$90,2,FALSE))</f>
        <v>Otras causas negligentes no clasificadas en faenas agrícolas y pecuarias</v>
      </c>
      <c r="G234" s="70" t="str">
        <f>IF(E234="","",VLOOKUP(E234,Causas!$A$2:$D$90,3,FALSE()))</f>
        <v>4.2</v>
      </c>
      <c r="H234" s="74" t="str">
        <f>IF(E234="","",VLOOKUP(E234,Causas!$A$2:$D$90,4,FALSE()))</f>
        <v>Faenas agrícolas y pecuarias</v>
      </c>
      <c r="I234" s="74" t="str">
        <f>IF(E234="","",VLOOKUP(E234,Causas!$A$2:$E$90,5,FALSE()))</f>
        <v>Negligentes</v>
      </c>
      <c r="J234" s="18">
        <v>309490</v>
      </c>
      <c r="K234" s="18">
        <v>6133038</v>
      </c>
      <c r="L234" s="18">
        <v>0.2</v>
      </c>
      <c r="M234" s="18" t="s">
        <v>681</v>
      </c>
      <c r="N234" s="19" t="s">
        <v>809</v>
      </c>
      <c r="O234" s="31" t="s">
        <v>253</v>
      </c>
      <c r="P234" s="53">
        <v>46060</v>
      </c>
      <c r="Q234" s="40">
        <f t="shared" si="3"/>
        <v>2</v>
      </c>
      <c r="R234" s="40"/>
    </row>
    <row r="235" spans="1:18" x14ac:dyDescent="0.2">
      <c r="A235" s="17">
        <v>234</v>
      </c>
      <c r="B235" s="62" t="s">
        <v>252</v>
      </c>
      <c r="C235" s="18">
        <v>517</v>
      </c>
      <c r="D235" s="62" t="s">
        <v>610</v>
      </c>
      <c r="E235" s="18" t="s">
        <v>198</v>
      </c>
      <c r="F235" s="74" t="str">
        <f>IF(E235="","",VLOOKUP(E235,Causas!$A$2:$B$90,2,FALSE))</f>
        <v>Otras causas eléctricas negligentes no  clasificadas</v>
      </c>
      <c r="G235" s="70" t="str">
        <f>IF(E235="","",VLOOKUP(E235,Causas!$A$2:$D$90,3,FALSE()))</f>
        <v>4.9</v>
      </c>
      <c r="H235" s="74" t="str">
        <f>IF(E235="","",VLOOKUP(E235,Causas!$A$2:$D$90,4,FALSE()))</f>
        <v>Líneas eléctricas</v>
      </c>
      <c r="I235" s="74" t="str">
        <f>IF(E235="","",VLOOKUP(E235,Causas!$A$2:$E$90,5,FALSE()))</f>
        <v>Negligentes</v>
      </c>
      <c r="J235" s="18">
        <v>286529</v>
      </c>
      <c r="K235" s="18">
        <v>6120376</v>
      </c>
      <c r="L235" s="18">
        <v>0.15</v>
      </c>
      <c r="M235" s="18" t="s">
        <v>681</v>
      </c>
      <c r="N235" s="19" t="s">
        <v>810</v>
      </c>
      <c r="O235" s="31" t="s">
        <v>253</v>
      </c>
      <c r="P235" s="53">
        <v>46066</v>
      </c>
      <c r="Q235" s="40">
        <f t="shared" si="3"/>
        <v>2</v>
      </c>
      <c r="R235" s="40"/>
    </row>
    <row r="236" spans="1:18" x14ac:dyDescent="0.2">
      <c r="A236" s="17">
        <v>235</v>
      </c>
      <c r="B236" s="62" t="s">
        <v>252</v>
      </c>
      <c r="C236" s="18">
        <v>462</v>
      </c>
      <c r="D236" s="62" t="s">
        <v>611</v>
      </c>
      <c r="E236" s="18" t="s">
        <v>148</v>
      </c>
      <c r="F236" s="74" t="str">
        <f>IF(E236="","",VLOOKUP(E236,Causas!$A$2:$B$90,2,FALSE))</f>
        <v>Otras causas negligentes no clasificadas en faenas agrícolas y pecuarias</v>
      </c>
      <c r="G236" s="70" t="str">
        <f>IF(E236="","",VLOOKUP(E236,Causas!$A$2:$D$90,3,FALSE()))</f>
        <v>4.2</v>
      </c>
      <c r="H236" s="74" t="str">
        <f>IF(E236="","",VLOOKUP(E236,Causas!$A$2:$D$90,4,FALSE()))</f>
        <v>Faenas agrícolas y pecuarias</v>
      </c>
      <c r="I236" s="74" t="str">
        <f>IF(E236="","",VLOOKUP(E236,Causas!$A$2:$E$90,5,FALSE()))</f>
        <v>Negligentes</v>
      </c>
      <c r="J236" s="18">
        <v>290121</v>
      </c>
      <c r="K236" s="18">
        <v>6122874</v>
      </c>
      <c r="L236" s="18">
        <v>1.4</v>
      </c>
      <c r="M236" s="18" t="s">
        <v>681</v>
      </c>
      <c r="N236" s="19" t="s">
        <v>811</v>
      </c>
      <c r="O236" s="31" t="s">
        <v>253</v>
      </c>
      <c r="P236" s="53">
        <v>46054</v>
      </c>
      <c r="Q236" s="40">
        <f t="shared" si="3"/>
        <v>2</v>
      </c>
      <c r="R236" s="40"/>
    </row>
    <row r="237" spans="1:18" x14ac:dyDescent="0.2">
      <c r="A237" s="17">
        <v>236</v>
      </c>
      <c r="B237" s="62" t="s">
        <v>260</v>
      </c>
      <c r="C237" s="18">
        <v>625</v>
      </c>
      <c r="D237" s="62" t="s">
        <v>612</v>
      </c>
      <c r="E237" s="18" t="s">
        <v>148</v>
      </c>
      <c r="F237" s="74" t="str">
        <f>IF(E237="","",VLOOKUP(E237,Causas!$A$2:$B$90,2,FALSE))</f>
        <v>Otras causas negligentes no clasificadas en faenas agrícolas y pecuarias</v>
      </c>
      <c r="G237" s="70" t="str">
        <f>IF(E237="","",VLOOKUP(E237,Causas!$A$2:$D$90,3,FALSE()))</f>
        <v>4.2</v>
      </c>
      <c r="H237" s="74" t="str">
        <f>IF(E237="","",VLOOKUP(E237,Causas!$A$2:$D$90,4,FALSE()))</f>
        <v>Faenas agrícolas y pecuarias</v>
      </c>
      <c r="I237" s="74" t="str">
        <f>IF(E237="","",VLOOKUP(E237,Causas!$A$2:$E$90,5,FALSE()))</f>
        <v>Negligentes</v>
      </c>
      <c r="J237" s="18">
        <v>311006</v>
      </c>
      <c r="K237" s="18">
        <v>6132322</v>
      </c>
      <c r="L237" s="18">
        <v>2.5</v>
      </c>
      <c r="M237" s="18" t="s">
        <v>681</v>
      </c>
      <c r="N237" s="19" t="s">
        <v>812</v>
      </c>
      <c r="O237" s="31" t="s">
        <v>253</v>
      </c>
      <c r="P237" s="53">
        <v>46096</v>
      </c>
      <c r="Q237" s="40">
        <f t="shared" si="3"/>
        <v>3</v>
      </c>
      <c r="R237" s="40"/>
    </row>
    <row r="238" spans="1:18" x14ac:dyDescent="0.2">
      <c r="A238" s="17">
        <v>237</v>
      </c>
      <c r="B238" s="62" t="s">
        <v>259</v>
      </c>
      <c r="C238" s="18">
        <v>510</v>
      </c>
      <c r="D238" s="62" t="s">
        <v>439</v>
      </c>
      <c r="E238" s="18" t="s">
        <v>165</v>
      </c>
      <c r="F238" s="74" t="str">
        <f>IF(E238="","",VLOOKUP(E238,Causas!$A$2:$B$90,2,FALSE))</f>
        <v>Generado por el uso de equipos o herramientas con fines de construcción, limpieza o montaje de estructuras</v>
      </c>
      <c r="G238" s="70" t="str">
        <f>IF(E238="","",VLOOKUP(E238,Causas!$A$2:$D$90,3,FALSE()))</f>
        <v>4.6</v>
      </c>
      <c r="H238" s="74" t="str">
        <f>IF(E238="","",VLOOKUP(E238,Causas!$A$2:$D$90,4,FALSE()))</f>
        <v>Parcelaciones, edificaciones residenciales, industriales u otras en zonas rurales o de interfaz</v>
      </c>
      <c r="I238" s="74" t="str">
        <f>IF(E238="","",VLOOKUP(E238,Causas!$A$2:$E$90,5,FALSE()))</f>
        <v>Negligentes</v>
      </c>
      <c r="J238" s="18">
        <v>720300</v>
      </c>
      <c r="K238" s="18">
        <v>6033844</v>
      </c>
      <c r="L238" s="18">
        <v>0.25</v>
      </c>
      <c r="M238" s="18" t="s">
        <v>681</v>
      </c>
      <c r="N238" s="19" t="s">
        <v>813</v>
      </c>
      <c r="O238" s="31" t="s">
        <v>241</v>
      </c>
      <c r="P238" s="53">
        <v>46065</v>
      </c>
      <c r="Q238" s="40">
        <f t="shared" si="3"/>
        <v>2</v>
      </c>
      <c r="R238" s="40"/>
    </row>
    <row r="239" spans="1:18" x14ac:dyDescent="0.2">
      <c r="A239" s="17">
        <v>238</v>
      </c>
      <c r="B239" s="62" t="s">
        <v>241</v>
      </c>
      <c r="C239" s="18">
        <v>488</v>
      </c>
      <c r="D239" s="62" t="s">
        <v>613</v>
      </c>
      <c r="E239" s="18" t="s">
        <v>101</v>
      </c>
      <c r="F239" s="74" t="str">
        <f>IF(E239="","",VLOOKUP(E239,Causas!$A$2:$B$90,2,FALSE))</f>
        <v>Obtención beneficios económicos (compra de madera, presión por trabajo, robo  maderero, otros)</v>
      </c>
      <c r="G239" s="70" t="str">
        <f>IF(E239="","",VLOOKUP(E239,Causas!$A$2:$D$90,3,FALSE()))</f>
        <v>2.1</v>
      </c>
      <c r="H239" s="74" t="str">
        <f>IF(E239="","",VLOOKUP(E239,Causas!$A$2:$D$90,4,FALSE()))</f>
        <v>Incendios intencionales</v>
      </c>
      <c r="I239" s="74" t="str">
        <f>IF(E239="","",VLOOKUP(E239,Causas!$A$2:$E$90,5,FALSE()))</f>
        <v>Intencionales</v>
      </c>
      <c r="J239" s="18">
        <v>736520</v>
      </c>
      <c r="K239" s="18">
        <v>6022711</v>
      </c>
      <c r="L239" s="18">
        <v>0.41</v>
      </c>
      <c r="M239" s="18" t="s">
        <v>681</v>
      </c>
      <c r="N239" s="19" t="s">
        <v>814</v>
      </c>
      <c r="O239" s="31" t="s">
        <v>241</v>
      </c>
      <c r="P239" s="53">
        <v>46061</v>
      </c>
      <c r="Q239" s="40">
        <f t="shared" si="3"/>
        <v>2</v>
      </c>
      <c r="R239" s="40"/>
    </row>
    <row r="240" spans="1:18" x14ac:dyDescent="0.2">
      <c r="A240" s="17">
        <v>239</v>
      </c>
      <c r="B240" s="62" t="s">
        <v>241</v>
      </c>
      <c r="C240" s="18">
        <v>497</v>
      </c>
      <c r="D240" s="62" t="s">
        <v>614</v>
      </c>
      <c r="E240" s="18" t="s">
        <v>101</v>
      </c>
      <c r="F240" s="74" t="str">
        <f>IF(E240="","",VLOOKUP(E240,Causas!$A$2:$B$90,2,FALSE))</f>
        <v>Obtención beneficios económicos (compra de madera, presión por trabajo, robo  maderero, otros)</v>
      </c>
      <c r="G240" s="70" t="str">
        <f>IF(E240="","",VLOOKUP(E240,Causas!$A$2:$D$90,3,FALSE()))</f>
        <v>2.1</v>
      </c>
      <c r="H240" s="74" t="str">
        <f>IF(E240="","",VLOOKUP(E240,Causas!$A$2:$D$90,4,FALSE()))</f>
        <v>Incendios intencionales</v>
      </c>
      <c r="I240" s="74" t="str">
        <f>IF(E240="","",VLOOKUP(E240,Causas!$A$2:$E$90,5,FALSE()))</f>
        <v>Intencionales</v>
      </c>
      <c r="J240" s="18">
        <v>736485</v>
      </c>
      <c r="K240" s="18">
        <v>6022677</v>
      </c>
      <c r="L240" s="18">
        <v>0.5</v>
      </c>
      <c r="M240" s="18" t="s">
        <v>681</v>
      </c>
      <c r="N240" s="19" t="s">
        <v>815</v>
      </c>
      <c r="O240" s="31" t="s">
        <v>241</v>
      </c>
      <c r="P240" s="53">
        <v>46063</v>
      </c>
      <c r="Q240" s="40">
        <f t="shared" si="3"/>
        <v>2</v>
      </c>
      <c r="R240" s="40"/>
    </row>
    <row r="241" spans="1:18" x14ac:dyDescent="0.2">
      <c r="A241" s="17">
        <v>240</v>
      </c>
      <c r="B241" s="62" t="s">
        <v>241</v>
      </c>
      <c r="C241" s="18">
        <v>523</v>
      </c>
      <c r="D241" s="62" t="s">
        <v>615</v>
      </c>
      <c r="E241" s="18" t="s">
        <v>101</v>
      </c>
      <c r="F241" s="74" t="str">
        <f>IF(E241="","",VLOOKUP(E241,Causas!$A$2:$B$90,2,FALSE))</f>
        <v>Obtención beneficios económicos (compra de madera, presión por trabajo, robo  maderero, otros)</v>
      </c>
      <c r="G241" s="70" t="str">
        <f>IF(E241="","",VLOOKUP(E241,Causas!$A$2:$D$90,3,FALSE()))</f>
        <v>2.1</v>
      </c>
      <c r="H241" s="74" t="str">
        <f>IF(E241="","",VLOOKUP(E241,Causas!$A$2:$D$90,4,FALSE()))</f>
        <v>Incendios intencionales</v>
      </c>
      <c r="I241" s="74" t="str">
        <f>IF(E241="","",VLOOKUP(E241,Causas!$A$2:$E$90,5,FALSE()))</f>
        <v>Intencionales</v>
      </c>
      <c r="J241" s="18">
        <v>736527</v>
      </c>
      <c r="K241" s="18">
        <v>6022758</v>
      </c>
      <c r="L241" s="18">
        <v>0.5</v>
      </c>
      <c r="M241" s="18" t="s">
        <v>681</v>
      </c>
      <c r="N241" s="19" t="s">
        <v>816</v>
      </c>
      <c r="O241" s="31" t="s">
        <v>241</v>
      </c>
      <c r="P241" s="53">
        <v>46067</v>
      </c>
      <c r="Q241" s="40">
        <f t="shared" si="3"/>
        <v>2</v>
      </c>
      <c r="R241" s="40"/>
    </row>
    <row r="242" spans="1:18" x14ac:dyDescent="0.2">
      <c r="A242" s="17">
        <v>241</v>
      </c>
      <c r="B242" s="62" t="s">
        <v>269</v>
      </c>
      <c r="C242" s="18">
        <v>580</v>
      </c>
      <c r="D242" s="62" t="s">
        <v>616</v>
      </c>
      <c r="E242" s="18" t="s">
        <v>65</v>
      </c>
      <c r="F242" s="74" t="str">
        <f>IF(E242="","",VLOOKUP(E242,Causas!$A$2:$B$90,2,FALSE))</f>
        <v>Incendio estructural</v>
      </c>
      <c r="G242" s="70" t="str">
        <f>IF(E242="","",VLOOKUP(E242,Causas!$A$2:$D$90,3,FALSE()))</f>
        <v>1.6</v>
      </c>
      <c r="H242" s="74" t="str">
        <f>IF(E242="","",VLOOKUP(E242,Causas!$A$2:$D$90,4,FALSE()))</f>
        <v>Parcelaciones, edificaciones residenciales, industriales u otras en zonas rurales o de interfaz</v>
      </c>
      <c r="I242" s="74" t="str">
        <f>IF(E242="","",VLOOKUP(E242,Causas!$A$2:$E$90,5,FALSE()))</f>
        <v>Accidentales</v>
      </c>
      <c r="J242" s="18">
        <v>314214</v>
      </c>
      <c r="K242" s="18">
        <v>6139658</v>
      </c>
      <c r="L242" s="18">
        <v>6</v>
      </c>
      <c r="M242" s="18" t="s">
        <v>681</v>
      </c>
      <c r="N242" s="19" t="s">
        <v>817</v>
      </c>
      <c r="O242" s="31" t="s">
        <v>253</v>
      </c>
      <c r="P242" s="53">
        <v>46082</v>
      </c>
      <c r="Q242" s="40">
        <f t="shared" si="3"/>
        <v>3</v>
      </c>
      <c r="R242" s="40"/>
    </row>
    <row r="243" spans="1:18" x14ac:dyDescent="0.2">
      <c r="A243" s="17">
        <v>242</v>
      </c>
      <c r="B243" s="62" t="s">
        <v>269</v>
      </c>
      <c r="C243" s="18">
        <v>539</v>
      </c>
      <c r="D243" s="62" t="s">
        <v>617</v>
      </c>
      <c r="E243" s="18" t="s">
        <v>165</v>
      </c>
      <c r="F243" s="74" t="str">
        <f>IF(E243="","",VLOOKUP(E243,Causas!$A$2:$B$90,2,FALSE))</f>
        <v>Generado por el uso de equipos o herramientas con fines de construcción, limpieza o montaje de estructuras</v>
      </c>
      <c r="G243" s="70" t="str">
        <f>IF(E243="","",VLOOKUP(E243,Causas!$A$2:$D$90,3,FALSE()))</f>
        <v>4.6</v>
      </c>
      <c r="H243" s="74" t="str">
        <f>IF(E243="","",VLOOKUP(E243,Causas!$A$2:$D$90,4,FALSE()))</f>
        <v>Parcelaciones, edificaciones residenciales, industriales u otras en zonas rurales o de interfaz</v>
      </c>
      <c r="I243" s="74" t="str">
        <f>IF(E243="","",VLOOKUP(E243,Causas!$A$2:$E$90,5,FALSE()))</f>
        <v>Negligentes</v>
      </c>
      <c r="J243" s="18">
        <v>318631</v>
      </c>
      <c r="K243" s="18">
        <v>6133732</v>
      </c>
      <c r="L243" s="18">
        <v>15</v>
      </c>
      <c r="M243" s="18" t="s">
        <v>681</v>
      </c>
      <c r="N243" s="19" t="s">
        <v>818</v>
      </c>
      <c r="O243" s="31" t="s">
        <v>253</v>
      </c>
      <c r="P243" s="53">
        <v>46074</v>
      </c>
      <c r="Q243" s="40">
        <f t="shared" si="3"/>
        <v>2</v>
      </c>
      <c r="R243" s="40"/>
    </row>
    <row r="244" spans="1:18" x14ac:dyDescent="0.2">
      <c r="A244" s="17">
        <v>243</v>
      </c>
      <c r="B244" s="62" t="s">
        <v>241</v>
      </c>
      <c r="C244" s="18">
        <v>172</v>
      </c>
      <c r="D244" s="62" t="s">
        <v>618</v>
      </c>
      <c r="E244" s="18" t="s">
        <v>21</v>
      </c>
      <c r="F244" s="74" t="str">
        <f>IF(E244="","",VLOOKUP(E244,Causas!$A$2:$B$90,2,FALSE))</f>
        <v>Empleo de fuentes de calor en actividades relacionadas a parcelaciones (asados, tijerales, fogatas, otros)</v>
      </c>
      <c r="G244" s="70" t="str">
        <f>IF(E244="","",VLOOKUP(E244,Causas!$A$2:$D$90,3,FALSE()))</f>
        <v>4.6</v>
      </c>
      <c r="H244" s="74" t="str">
        <f>IF(E244="","",VLOOKUP(E244,Causas!$A$2:$D$90,4,FALSE()))</f>
        <v>Parcelaciones, edificaciones residenciales, industriales u otras en zonas rurales o de interfaz</v>
      </c>
      <c r="I244" s="74" t="str">
        <f>IF(E244="","",VLOOKUP(E244,Causas!$A$2:$E$90,5,FALSE()))</f>
        <v>Negligentes</v>
      </c>
      <c r="J244" s="18">
        <v>738996</v>
      </c>
      <c r="K244" s="18">
        <v>6013538</v>
      </c>
      <c r="L244" s="18">
        <v>0.35</v>
      </c>
      <c r="M244" s="18" t="s">
        <v>681</v>
      </c>
      <c r="N244" s="19" t="s">
        <v>819</v>
      </c>
      <c r="O244" s="31" t="s">
        <v>241</v>
      </c>
      <c r="P244" s="53">
        <v>45997</v>
      </c>
      <c r="Q244" s="40">
        <f t="shared" si="3"/>
        <v>12</v>
      </c>
      <c r="R244" s="40"/>
    </row>
    <row r="245" spans="1:18" x14ac:dyDescent="0.2">
      <c r="A245" s="17">
        <v>244</v>
      </c>
      <c r="B245" s="62" t="s">
        <v>241</v>
      </c>
      <c r="C245" s="18">
        <v>368</v>
      </c>
      <c r="D245" s="62" t="s">
        <v>618</v>
      </c>
      <c r="E245" s="18" t="s">
        <v>165</v>
      </c>
      <c r="F245" s="74" t="str">
        <f>IF(E245="","",VLOOKUP(E245,Causas!$A$2:$B$90,2,FALSE))</f>
        <v>Generado por el uso de equipos o herramientas con fines de construcción, limpieza o montaje de estructuras</v>
      </c>
      <c r="G245" s="70" t="str">
        <f>IF(E245="","",VLOOKUP(E245,Causas!$A$2:$D$90,3,FALSE()))</f>
        <v>4.6</v>
      </c>
      <c r="H245" s="74" t="str">
        <f>IF(E245="","",VLOOKUP(E245,Causas!$A$2:$D$90,4,FALSE()))</f>
        <v>Parcelaciones, edificaciones residenciales, industriales u otras en zonas rurales o de interfaz</v>
      </c>
      <c r="I245" s="74" t="str">
        <f>IF(E245="","",VLOOKUP(E245,Causas!$A$2:$E$90,5,FALSE()))</f>
        <v>Negligentes</v>
      </c>
      <c r="J245" s="18">
        <v>739456</v>
      </c>
      <c r="K245" s="18">
        <v>6014450</v>
      </c>
      <c r="L245" s="18">
        <v>31.5</v>
      </c>
      <c r="M245" s="18" t="s">
        <v>681</v>
      </c>
      <c r="N245" s="19" t="s">
        <v>820</v>
      </c>
      <c r="O245" s="31" t="s">
        <v>241</v>
      </c>
      <c r="P245" s="53">
        <v>46035</v>
      </c>
      <c r="Q245" s="40">
        <f t="shared" si="3"/>
        <v>1</v>
      </c>
      <c r="R245" s="40"/>
    </row>
    <row r="246" spans="1:18" x14ac:dyDescent="0.2">
      <c r="A246" s="17">
        <v>245</v>
      </c>
      <c r="B246" s="62" t="s">
        <v>241</v>
      </c>
      <c r="C246" s="18">
        <v>345</v>
      </c>
      <c r="D246" s="62" t="s">
        <v>619</v>
      </c>
      <c r="E246" s="18" t="s">
        <v>93</v>
      </c>
      <c r="F246" s="74" t="str">
        <f>IF(E246="","",VLOOKUP(E246,Causas!$A$2:$B$90,2,FALSE))</f>
        <v>Provocado, no se identifica la motivación</v>
      </c>
      <c r="G246" s="70" t="str">
        <f>IF(E246="","",VLOOKUP(E246,Causas!$A$2:$D$90,3,FALSE()))</f>
        <v>2.1</v>
      </c>
      <c r="H246" s="74" t="str">
        <f>IF(E246="","",VLOOKUP(E246,Causas!$A$2:$D$90,4,FALSE()))</f>
        <v>Incendios intencionales</v>
      </c>
      <c r="I246" s="74" t="str">
        <f>IF(E246="","",VLOOKUP(E246,Causas!$A$2:$E$90,5,FALSE()))</f>
        <v>Intencionales</v>
      </c>
      <c r="J246" s="18">
        <v>742506</v>
      </c>
      <c r="K246" s="18">
        <v>6013363</v>
      </c>
      <c r="L246" s="18">
        <v>5.1100000000000003</v>
      </c>
      <c r="M246" s="18" t="s">
        <v>681</v>
      </c>
      <c r="N246" s="19" t="s">
        <v>821</v>
      </c>
      <c r="O246" s="31" t="s">
        <v>241</v>
      </c>
      <c r="P246" s="53">
        <v>46032</v>
      </c>
      <c r="Q246" s="40">
        <f t="shared" si="3"/>
        <v>1</v>
      </c>
      <c r="R246" s="40"/>
    </row>
    <row r="247" spans="1:18" x14ac:dyDescent="0.2">
      <c r="A247" s="17">
        <v>246</v>
      </c>
      <c r="B247" s="62" t="s">
        <v>254</v>
      </c>
      <c r="C247" s="18">
        <v>374</v>
      </c>
      <c r="D247" s="62" t="s">
        <v>620</v>
      </c>
      <c r="E247" s="18" t="s">
        <v>124</v>
      </c>
      <c r="F247" s="74" t="str">
        <f>IF(E247="","",VLOOKUP(E247,Causas!$A$2:$B$90,2,FALSE))</f>
        <v>Contacto o corte de conductor eléctrico producto de faena forestal</v>
      </c>
      <c r="G247" s="70" t="str">
        <f>IF(E247="","",VLOOKUP(E247,Causas!$A$2:$D$90,3,FALSE()))</f>
        <v>4.1</v>
      </c>
      <c r="H247" s="74" t="str">
        <f>IF(E247="","",VLOOKUP(E247,Causas!$A$2:$D$90,4,FALSE()))</f>
        <v>Faenas forestales</v>
      </c>
      <c r="I247" s="74" t="str">
        <f>IF(E247="","",VLOOKUP(E247,Causas!$A$2:$E$90,5,FALSE()))</f>
        <v>Negligentes</v>
      </c>
      <c r="J247" s="18">
        <v>767344</v>
      </c>
      <c r="K247" s="18">
        <v>6055902</v>
      </c>
      <c r="L247" s="18">
        <v>2.42</v>
      </c>
      <c r="M247" s="18" t="s">
        <v>681</v>
      </c>
      <c r="N247" s="19" t="s">
        <v>822</v>
      </c>
      <c r="O247" s="31" t="s">
        <v>248</v>
      </c>
      <c r="P247" s="53">
        <v>46036</v>
      </c>
      <c r="Q247" s="40">
        <f t="shared" si="3"/>
        <v>1</v>
      </c>
      <c r="R247" s="40"/>
    </row>
    <row r="248" spans="1:18" x14ac:dyDescent="0.2">
      <c r="A248" s="17">
        <v>247</v>
      </c>
      <c r="B248" s="62" t="s">
        <v>251</v>
      </c>
      <c r="C248" s="18">
        <v>390</v>
      </c>
      <c r="D248" s="62" t="s">
        <v>621</v>
      </c>
      <c r="E248" s="18" t="s">
        <v>165</v>
      </c>
      <c r="F248" s="74" t="str">
        <f>IF(E248="","",VLOOKUP(E248,Causas!$A$2:$B$90,2,FALSE))</f>
        <v>Generado por el uso de equipos o herramientas con fines de construcción, limpieza o montaje de estructuras</v>
      </c>
      <c r="G248" s="70" t="str">
        <f>IF(E248="","",VLOOKUP(E248,Causas!$A$2:$D$90,3,FALSE()))</f>
        <v>4.6</v>
      </c>
      <c r="H248" s="74" t="str">
        <f>IF(E248="","",VLOOKUP(E248,Causas!$A$2:$D$90,4,FALSE()))</f>
        <v>Parcelaciones, edificaciones residenciales, industriales u otras en zonas rurales o de interfaz</v>
      </c>
      <c r="I248" s="74" t="str">
        <f>IF(E248="","",VLOOKUP(E248,Causas!$A$2:$E$90,5,FALSE()))</f>
        <v>Negligentes</v>
      </c>
      <c r="J248" s="18">
        <v>258086</v>
      </c>
      <c r="K248" s="18">
        <v>6117458</v>
      </c>
      <c r="L248" s="18">
        <v>39.450000000000003</v>
      </c>
      <c r="M248" s="18" t="s">
        <v>681</v>
      </c>
      <c r="N248" s="19" t="s">
        <v>823</v>
      </c>
      <c r="O248" s="31" t="s">
        <v>253</v>
      </c>
      <c r="P248" s="53">
        <v>46039</v>
      </c>
      <c r="Q248" s="40">
        <f t="shared" si="3"/>
        <v>1</v>
      </c>
      <c r="R248" s="40"/>
    </row>
    <row r="249" spans="1:18" x14ac:dyDescent="0.2">
      <c r="A249" s="17">
        <v>248</v>
      </c>
      <c r="B249" s="62" t="s">
        <v>251</v>
      </c>
      <c r="C249" s="18">
        <v>635</v>
      </c>
      <c r="D249" s="62" t="s">
        <v>622</v>
      </c>
      <c r="E249" s="18" t="s">
        <v>25</v>
      </c>
      <c r="F249" s="74" t="str">
        <f>IF(E249="","",VLOOKUP(E249,Causas!$A$2:$B$90,2,FALSE))</f>
        <v>Quema de basura residencial o desechos vegetales</v>
      </c>
      <c r="G249" s="70" t="str">
        <f>IF(E249="","",VLOOKUP(E249,Causas!$A$2:$D$90,3,FALSE()))</f>
        <v>4.8</v>
      </c>
      <c r="H249" s="74" t="str">
        <f>IF(E249="","",VLOOKUP(E249,Causas!$A$2:$D$90,4,FALSE()))</f>
        <v>Otras quemas</v>
      </c>
      <c r="I249" s="74" t="str">
        <f>IF(E249="","",VLOOKUP(E249,Causas!$A$2:$E$90,5,FALSE()))</f>
        <v>Negligentes</v>
      </c>
      <c r="J249" s="18">
        <v>243400</v>
      </c>
      <c r="K249" s="18">
        <v>6125210</v>
      </c>
      <c r="L249" s="18">
        <v>0.15</v>
      </c>
      <c r="M249" s="18" t="s">
        <v>681</v>
      </c>
      <c r="N249" s="19" t="s">
        <v>824</v>
      </c>
      <c r="O249" s="31" t="s">
        <v>253</v>
      </c>
      <c r="P249" s="53">
        <v>46105</v>
      </c>
      <c r="Q249" s="40">
        <f t="shared" si="3"/>
        <v>3</v>
      </c>
      <c r="R249" s="40"/>
    </row>
    <row r="250" spans="1:18" x14ac:dyDescent="0.2">
      <c r="A250" s="17">
        <v>249</v>
      </c>
      <c r="B250" s="62" t="s">
        <v>241</v>
      </c>
      <c r="C250" s="18">
        <v>410</v>
      </c>
      <c r="D250" s="62" t="s">
        <v>623</v>
      </c>
      <c r="E250" s="18" t="s">
        <v>165</v>
      </c>
      <c r="F250" s="74" t="str">
        <f>IF(E250="","",VLOOKUP(E250,Causas!$A$2:$B$90,2,FALSE))</f>
        <v>Generado por el uso de equipos o herramientas con fines de construcción, limpieza o montaje de estructuras</v>
      </c>
      <c r="G250" s="70" t="str">
        <f>IF(E250="","",VLOOKUP(E250,Causas!$A$2:$D$90,3,FALSE()))</f>
        <v>4.6</v>
      </c>
      <c r="H250" s="74" t="str">
        <f>IF(E250="","",VLOOKUP(E250,Causas!$A$2:$D$90,4,FALSE()))</f>
        <v>Parcelaciones, edificaciones residenciales, industriales u otras en zonas rurales o de interfaz</v>
      </c>
      <c r="I250" s="74" t="str">
        <f>IF(E250="","",VLOOKUP(E250,Causas!$A$2:$E$90,5,FALSE()))</f>
        <v>Negligentes</v>
      </c>
      <c r="J250" s="18">
        <v>751686</v>
      </c>
      <c r="K250" s="18">
        <v>6002524</v>
      </c>
      <c r="L250" s="18">
        <v>1</v>
      </c>
      <c r="M250" s="18" t="s">
        <v>681</v>
      </c>
      <c r="N250" s="19" t="s">
        <v>825</v>
      </c>
      <c r="O250" s="31" t="s">
        <v>241</v>
      </c>
      <c r="P250" s="53">
        <v>46102</v>
      </c>
      <c r="Q250" s="40">
        <f t="shared" si="3"/>
        <v>3</v>
      </c>
      <c r="R250" s="40"/>
    </row>
    <row r="251" spans="1:18" x14ac:dyDescent="0.2">
      <c r="A251" s="17">
        <v>250</v>
      </c>
      <c r="B251" s="62" t="s">
        <v>241</v>
      </c>
      <c r="C251" s="18">
        <v>632</v>
      </c>
      <c r="D251" s="62" t="s">
        <v>624</v>
      </c>
      <c r="E251" s="18" t="s">
        <v>25</v>
      </c>
      <c r="F251" s="74" t="str">
        <f>IF(E251="","",VLOOKUP(E251,Causas!$A$2:$B$90,2,FALSE))</f>
        <v>Quema de basura residencial o desechos vegetales</v>
      </c>
      <c r="G251" s="70" t="str">
        <f>IF(E251="","",VLOOKUP(E251,Causas!$A$2:$D$90,3,FALSE()))</f>
        <v>4.8</v>
      </c>
      <c r="H251" s="74" t="str">
        <f>IF(E251="","",VLOOKUP(E251,Causas!$A$2:$D$90,4,FALSE()))</f>
        <v>Otras quemas</v>
      </c>
      <c r="I251" s="74" t="str">
        <f>IF(E251="","",VLOOKUP(E251,Causas!$A$2:$E$90,5,FALSE()))</f>
        <v>Negligentes</v>
      </c>
      <c r="J251" s="18">
        <v>736354</v>
      </c>
      <c r="K251" s="18">
        <v>6008516</v>
      </c>
      <c r="L251" s="18">
        <v>0.94</v>
      </c>
      <c r="M251" s="18" t="s">
        <v>681</v>
      </c>
      <c r="N251" s="19" t="s">
        <v>826</v>
      </c>
      <c r="O251" s="31" t="s">
        <v>241</v>
      </c>
      <c r="P251" s="53">
        <v>46104</v>
      </c>
      <c r="Q251" s="40">
        <f t="shared" si="3"/>
        <v>3</v>
      </c>
      <c r="R251" s="40"/>
    </row>
    <row r="252" spans="1:18" x14ac:dyDescent="0.2">
      <c r="A252" s="17">
        <v>251</v>
      </c>
      <c r="B252" s="62" t="s">
        <v>241</v>
      </c>
      <c r="C252" s="18">
        <v>614</v>
      </c>
      <c r="D252" s="62" t="s">
        <v>625</v>
      </c>
      <c r="E252" s="18" t="s">
        <v>75</v>
      </c>
      <c r="F252" s="74" t="str">
        <f>IF(E252="","",VLOOKUP(E252,Causas!$A$2:$B$90,2,FALSE))</f>
        <v>Generado por vehículo  (roce metálico, tubo de escape, desperfecto, otros)</v>
      </c>
      <c r="G252" s="70" t="str">
        <f>IF(E252="","",VLOOKUP(E252,Causas!$A$2:$D$90,3,FALSE()))</f>
        <v>1.7</v>
      </c>
      <c r="H252" s="74" t="str">
        <f>IF(E252="","",VLOOKUP(E252,Causas!$A$2:$D$90,4,FALSE()))</f>
        <v>Originados por desplazamiento de personas, vehículos o aeronaves</v>
      </c>
      <c r="I252" s="74" t="str">
        <f>IF(E252="","",VLOOKUP(E252,Causas!$A$2:$E$90,5,FALSE()))</f>
        <v>Accidentales</v>
      </c>
      <c r="J252" s="18">
        <v>711191</v>
      </c>
      <c r="K252" s="18">
        <v>6019943</v>
      </c>
      <c r="L252" s="18">
        <v>0.18</v>
      </c>
      <c r="M252" s="18" t="s">
        <v>681</v>
      </c>
      <c r="N252" s="19" t="s">
        <v>827</v>
      </c>
      <c r="O252" s="31" t="s">
        <v>241</v>
      </c>
      <c r="P252" s="53">
        <v>46094</v>
      </c>
      <c r="Q252" s="40">
        <f t="shared" si="3"/>
        <v>3</v>
      </c>
      <c r="R252" s="40"/>
    </row>
    <row r="253" spans="1:18" x14ac:dyDescent="0.2">
      <c r="A253" s="17">
        <v>252</v>
      </c>
      <c r="B253" s="62" t="s">
        <v>241</v>
      </c>
      <c r="C253" s="18">
        <v>616</v>
      </c>
      <c r="D253" s="62" t="s">
        <v>626</v>
      </c>
      <c r="E253" s="18" t="s">
        <v>165</v>
      </c>
      <c r="F253" s="74" t="str">
        <f>IF(E253="","",VLOOKUP(E253,Causas!$A$2:$B$90,2,FALSE))</f>
        <v>Generado por el uso de equipos o herramientas con fines de construcción, limpieza o montaje de estructuras</v>
      </c>
      <c r="G253" s="70" t="str">
        <f>IF(E253="","",VLOOKUP(E253,Causas!$A$2:$D$90,3,FALSE()))</f>
        <v>4.6</v>
      </c>
      <c r="H253" s="74" t="str">
        <f>IF(E253="","",VLOOKUP(E253,Causas!$A$2:$D$90,4,FALSE()))</f>
        <v>Parcelaciones, edificaciones residenciales, industriales u otras en zonas rurales o de interfaz</v>
      </c>
      <c r="I253" s="74" t="str">
        <f>IF(E253="","",VLOOKUP(E253,Causas!$A$2:$E$90,5,FALSE()))</f>
        <v>Negligentes</v>
      </c>
      <c r="J253" s="18">
        <v>742104</v>
      </c>
      <c r="K253" s="18">
        <v>6018372</v>
      </c>
      <c r="L253" s="18">
        <v>0.08</v>
      </c>
      <c r="M253" s="18" t="s">
        <v>681</v>
      </c>
      <c r="N253" s="19" t="s">
        <v>828</v>
      </c>
      <c r="O253" s="31" t="s">
        <v>241</v>
      </c>
      <c r="P253" s="53">
        <v>46094</v>
      </c>
      <c r="Q253" s="40">
        <f t="shared" si="3"/>
        <v>3</v>
      </c>
      <c r="R253" s="40"/>
    </row>
    <row r="254" spans="1:18" x14ac:dyDescent="0.2">
      <c r="A254" s="17">
        <v>253</v>
      </c>
      <c r="B254" s="62" t="s">
        <v>248</v>
      </c>
      <c r="C254" s="18">
        <v>661</v>
      </c>
      <c r="D254" s="62" t="s">
        <v>627</v>
      </c>
      <c r="E254" s="18" t="s">
        <v>20</v>
      </c>
      <c r="F254" s="74" t="str">
        <f>IF(E254="","",VLOOKUP(E254,Causas!$A$2:$B$90,2,FALSE))</f>
        <v>Empleo de fuentes de calor en faena de extracción y/o confección de leña no industrial</v>
      </c>
      <c r="G254" s="70" t="str">
        <f>IF(E254="","",VLOOKUP(E254,Causas!$A$2:$D$90,3,FALSE()))</f>
        <v>4.11</v>
      </c>
      <c r="H254" s="74" t="str">
        <f>IF(E254="","",VLOOKUP(E254,Causas!$A$2:$D$90,4,FALSE()))</f>
        <v>Producción y/o extracción de productos y/o derivados del bosque</v>
      </c>
      <c r="I254" s="74" t="str">
        <f>IF(E254="","",VLOOKUP(E254,Causas!$A$2:$E$90,5,FALSE()))</f>
        <v>Negligentes</v>
      </c>
      <c r="J254" s="18">
        <v>250708</v>
      </c>
      <c r="K254" s="18">
        <v>6043999</v>
      </c>
      <c r="L254" s="18">
        <v>0.5</v>
      </c>
      <c r="M254" s="18" t="s">
        <v>681</v>
      </c>
      <c r="N254" s="19" t="s">
        <v>829</v>
      </c>
      <c r="O254" s="31" t="s">
        <v>248</v>
      </c>
      <c r="P254" s="53">
        <v>46127</v>
      </c>
      <c r="Q254" s="40">
        <f t="shared" si="3"/>
        <v>4</v>
      </c>
      <c r="R254" s="40"/>
    </row>
    <row r="255" spans="1:18" x14ac:dyDescent="0.2">
      <c r="A255" s="17">
        <v>254</v>
      </c>
      <c r="B255" s="62" t="s">
        <v>248</v>
      </c>
      <c r="C255" s="18">
        <v>646</v>
      </c>
      <c r="D255" s="62" t="s">
        <v>628</v>
      </c>
      <c r="E255" s="18" t="s">
        <v>20</v>
      </c>
      <c r="F255" s="74" t="str">
        <f>IF(E255="","",VLOOKUP(E255,Causas!$A$2:$B$90,2,FALSE))</f>
        <v>Empleo de fuentes de calor en faena de extracción y/o confección de leña no industrial</v>
      </c>
      <c r="G255" s="70" t="str">
        <f>IF(E255="","",VLOOKUP(E255,Causas!$A$2:$D$90,3,FALSE()))</f>
        <v>4.11</v>
      </c>
      <c r="H255" s="74" t="str">
        <f>IF(E255="","",VLOOKUP(E255,Causas!$A$2:$D$90,4,FALSE()))</f>
        <v>Producción y/o extracción de productos y/o derivados del bosque</v>
      </c>
      <c r="I255" s="74" t="str">
        <f>IF(E255="","",VLOOKUP(E255,Causas!$A$2:$E$90,5,FALSE()))</f>
        <v>Negligentes</v>
      </c>
      <c r="J255" s="18">
        <v>250803</v>
      </c>
      <c r="K255" s="18">
        <v>6044498</v>
      </c>
      <c r="L255" s="18">
        <v>0.5</v>
      </c>
      <c r="M255" s="18" t="s">
        <v>681</v>
      </c>
      <c r="N255" s="19" t="s">
        <v>830</v>
      </c>
      <c r="O255" s="31" t="s">
        <v>248</v>
      </c>
      <c r="P255" s="53">
        <v>46112</v>
      </c>
      <c r="Q255" s="40">
        <f t="shared" si="3"/>
        <v>3</v>
      </c>
      <c r="R255" s="40"/>
    </row>
    <row r="256" spans="1:18" x14ac:dyDescent="0.2">
      <c r="A256" s="17">
        <v>255</v>
      </c>
      <c r="B256" s="62" t="s">
        <v>249</v>
      </c>
      <c r="C256" s="18">
        <v>660</v>
      </c>
      <c r="D256" s="62" t="s">
        <v>629</v>
      </c>
      <c r="E256" s="18" t="s">
        <v>134</v>
      </c>
      <c r="F256" s="74" t="str">
        <f>IF(E256="","",VLOOKUP(E256,Causas!$A$2:$B$90,2,FALSE))</f>
        <v>Quema no avisada de desechos agrícolas que se propaga libre y sin control</v>
      </c>
      <c r="G256" s="70" t="str">
        <f>IF(E256="","",VLOOKUP(E256,Causas!$A$2:$D$90,3,FALSE()))</f>
        <v>4.2</v>
      </c>
      <c r="H256" s="74" t="str">
        <f>IF(E256="","",VLOOKUP(E256,Causas!$A$2:$D$90,4,FALSE()))</f>
        <v>Faenas agrícolas y pecuarias</v>
      </c>
      <c r="I256" s="74" t="str">
        <f>IF(E256="","",VLOOKUP(E256,Causas!$A$2:$E$90,5,FALSE()))</f>
        <v>Negligentes</v>
      </c>
      <c r="J256" s="18">
        <v>267667</v>
      </c>
      <c r="K256" s="18">
        <v>6065209</v>
      </c>
      <c r="L256" s="18">
        <v>0.5</v>
      </c>
      <c r="M256" s="18" t="s">
        <v>681</v>
      </c>
      <c r="N256" s="19" t="s">
        <v>831</v>
      </c>
      <c r="O256" s="31" t="s">
        <v>242</v>
      </c>
      <c r="P256" s="53">
        <v>46125</v>
      </c>
      <c r="Q256" s="40">
        <f t="shared" si="3"/>
        <v>4</v>
      </c>
      <c r="R256" s="40"/>
    </row>
    <row r="257" spans="1:18" x14ac:dyDescent="0.2">
      <c r="A257" s="17">
        <v>256</v>
      </c>
      <c r="B257" s="62" t="s">
        <v>249</v>
      </c>
      <c r="C257" s="18">
        <v>627</v>
      </c>
      <c r="D257" s="62" t="s">
        <v>630</v>
      </c>
      <c r="E257" s="18" t="s">
        <v>93</v>
      </c>
      <c r="F257" s="74" t="str">
        <f>IF(E257="","",VLOOKUP(E257,Causas!$A$2:$B$90,2,FALSE))</f>
        <v>Provocado, no se identifica la motivación</v>
      </c>
      <c r="G257" s="70" t="str">
        <f>IF(E257="","",VLOOKUP(E257,Causas!$A$2:$D$90,3,FALSE()))</f>
        <v>2.1</v>
      </c>
      <c r="H257" s="74" t="str">
        <f>IF(E257="","",VLOOKUP(E257,Causas!$A$2:$D$90,4,FALSE()))</f>
        <v>Incendios intencionales</v>
      </c>
      <c r="I257" s="74" t="str">
        <f>IF(E257="","",VLOOKUP(E257,Causas!$A$2:$E$90,5,FALSE()))</f>
        <v>Intencionales</v>
      </c>
      <c r="J257" s="18">
        <v>287238</v>
      </c>
      <c r="K257" s="18">
        <v>6058387</v>
      </c>
      <c r="L257" s="18">
        <v>0.25</v>
      </c>
      <c r="M257" s="18" t="s">
        <v>681</v>
      </c>
      <c r="N257" s="19" t="s">
        <v>832</v>
      </c>
      <c r="O257" s="31" t="s">
        <v>242</v>
      </c>
      <c r="P257" s="53">
        <v>46089</v>
      </c>
      <c r="Q257" s="40">
        <f t="shared" si="3"/>
        <v>3</v>
      </c>
      <c r="R257" s="40"/>
    </row>
    <row r="258" spans="1:18" x14ac:dyDescent="0.2">
      <c r="A258" s="17">
        <v>257</v>
      </c>
      <c r="B258" s="62" t="s">
        <v>12</v>
      </c>
      <c r="C258" s="18">
        <v>587</v>
      </c>
      <c r="D258" s="62" t="s">
        <v>631</v>
      </c>
      <c r="E258" s="18" t="s">
        <v>134</v>
      </c>
      <c r="F258" s="74" t="str">
        <f>IF(E258="","",VLOOKUP(E258,Causas!$A$2:$B$90,2,FALSE))</f>
        <v>Quema no avisada de desechos agrícolas que se propaga libre y sin control</v>
      </c>
      <c r="G258" s="70" t="str">
        <f>IF(E258="","",VLOOKUP(E258,Causas!$A$2:$D$90,3,FALSE()))</f>
        <v>4.2</v>
      </c>
      <c r="H258" s="74" t="str">
        <f>IF(E258="","",VLOOKUP(E258,Causas!$A$2:$D$90,4,FALSE()))</f>
        <v>Faenas agrícolas y pecuarias</v>
      </c>
      <c r="I258" s="74" t="str">
        <f>IF(E258="","",VLOOKUP(E258,Causas!$A$2:$E$90,5,FALSE()))</f>
        <v>Negligentes</v>
      </c>
      <c r="J258" s="18">
        <v>260076</v>
      </c>
      <c r="K258" s="18">
        <v>6067183</v>
      </c>
      <c r="L258" s="18">
        <v>0.1</v>
      </c>
      <c r="M258" s="18" t="s">
        <v>681</v>
      </c>
      <c r="N258" s="19" t="s">
        <v>833</v>
      </c>
      <c r="O258" s="31" t="s">
        <v>242</v>
      </c>
      <c r="P258" s="53">
        <v>46087</v>
      </c>
      <c r="Q258" s="40">
        <f t="shared" si="3"/>
        <v>3</v>
      </c>
      <c r="R258" s="40"/>
    </row>
    <row r="259" spans="1:18" x14ac:dyDescent="0.2">
      <c r="A259" s="17">
        <v>258</v>
      </c>
      <c r="B259" s="62" t="s">
        <v>12</v>
      </c>
      <c r="C259" s="18">
        <v>366</v>
      </c>
      <c r="D259" s="62" t="s">
        <v>632</v>
      </c>
      <c r="E259" s="18" t="s">
        <v>189</v>
      </c>
      <c r="F259" s="74" t="str">
        <f>IF(E259="","",VLOOKUP(E259,Causas!$A$2:$B$90,2,FALSE))</f>
        <v>Combustión de la vegetación, producto del contacto o proximidad con el tendido eléctrico</v>
      </c>
      <c r="G259" s="70" t="str">
        <f>IF(E259="","",VLOOKUP(E259,Causas!$A$2:$D$90,3,FALSE()))</f>
        <v>4.9</v>
      </c>
      <c r="H259" s="74" t="str">
        <f>IF(E259="","",VLOOKUP(E259,Causas!$A$2:$D$90,4,FALSE()))</f>
        <v>Líneas eléctricas</v>
      </c>
      <c r="I259" s="74" t="str">
        <f>IF(E259="","",VLOOKUP(E259,Causas!$A$2:$E$90,5,FALSE()))</f>
        <v>Negligentes</v>
      </c>
      <c r="J259" s="18">
        <v>263097</v>
      </c>
      <c r="K259" s="18">
        <v>6066199</v>
      </c>
      <c r="L259" s="18">
        <v>0.2</v>
      </c>
      <c r="M259" s="18" t="s">
        <v>681</v>
      </c>
      <c r="N259" s="19" t="s">
        <v>834</v>
      </c>
      <c r="O259" s="31" t="s">
        <v>242</v>
      </c>
      <c r="P259" s="53">
        <v>46035</v>
      </c>
      <c r="Q259" s="40">
        <f t="shared" ref="Q259:Q322" si="4">MONTH(P259)</f>
        <v>1</v>
      </c>
      <c r="R259" s="40"/>
    </row>
    <row r="260" spans="1:18" x14ac:dyDescent="0.2">
      <c r="A260" s="17">
        <v>259</v>
      </c>
      <c r="B260" s="62" t="s">
        <v>246</v>
      </c>
      <c r="C260" s="18">
        <v>560</v>
      </c>
      <c r="D260" s="62" t="s">
        <v>633</v>
      </c>
      <c r="E260" s="18" t="s">
        <v>207</v>
      </c>
      <c r="F260" s="74" t="str">
        <f>IF(E260="","",VLOOKUP(E260,Causas!$A$2:$B$90,2,FALSE))</f>
        <v>Acciones asociadas a fumar</v>
      </c>
      <c r="G260" s="70" t="str">
        <f>IF(E260="","",VLOOKUP(E260,Causas!$A$2:$D$90,3,FALSE()))</f>
        <v>4.10</v>
      </c>
      <c r="H260" s="74" t="str">
        <f>IF(E260="","",VLOOKUP(E260,Causas!$A$2:$D$90,4,FALSE()))</f>
        <v>Otras causas</v>
      </c>
      <c r="I260" s="74" t="str">
        <f>IF(E260="","",VLOOKUP(E260,Causas!$A$2:$E$90,5,FALSE()))</f>
        <v>Negligentes</v>
      </c>
      <c r="J260" s="18">
        <v>301343</v>
      </c>
      <c r="K260" s="18">
        <v>6106521</v>
      </c>
      <c r="L260" s="18">
        <v>0.72</v>
      </c>
      <c r="M260" s="18" t="s">
        <v>681</v>
      </c>
      <c r="N260" s="19" t="s">
        <v>835</v>
      </c>
      <c r="O260" s="31" t="s">
        <v>253</v>
      </c>
      <c r="P260" s="53">
        <v>46078</v>
      </c>
      <c r="Q260" s="40">
        <f t="shared" si="4"/>
        <v>2</v>
      </c>
      <c r="R260" s="40"/>
    </row>
    <row r="261" spans="1:18" x14ac:dyDescent="0.2">
      <c r="A261" s="17">
        <v>260</v>
      </c>
      <c r="B261" s="62" t="s">
        <v>246</v>
      </c>
      <c r="C261" s="18">
        <v>647</v>
      </c>
      <c r="D261" s="62" t="s">
        <v>634</v>
      </c>
      <c r="E261" s="18" t="s">
        <v>148</v>
      </c>
      <c r="F261" s="74" t="str">
        <f>IF(E261="","",VLOOKUP(E261,Causas!$A$2:$B$90,2,FALSE))</f>
        <v>Otras causas negligentes no clasificadas en faenas agrícolas y pecuarias</v>
      </c>
      <c r="G261" s="70" t="str">
        <f>IF(E261="","",VLOOKUP(E261,Causas!$A$2:$D$90,3,FALSE()))</f>
        <v>4.2</v>
      </c>
      <c r="H261" s="74" t="str">
        <f>IF(E261="","",VLOOKUP(E261,Causas!$A$2:$D$90,4,FALSE()))</f>
        <v>Faenas agrícolas y pecuarias</v>
      </c>
      <c r="I261" s="74" t="str">
        <f>IF(E261="","",VLOOKUP(E261,Causas!$A$2:$E$90,5,FALSE()))</f>
        <v>Negligentes</v>
      </c>
      <c r="J261" s="18">
        <v>310208</v>
      </c>
      <c r="K261" s="18">
        <v>6100667</v>
      </c>
      <c r="L261" s="18">
        <v>0.3</v>
      </c>
      <c r="M261" s="18" t="s">
        <v>681</v>
      </c>
      <c r="N261" s="19" t="s">
        <v>836</v>
      </c>
      <c r="O261" s="31" t="s">
        <v>253</v>
      </c>
      <c r="P261" s="53">
        <v>46114</v>
      </c>
      <c r="Q261" s="40">
        <f t="shared" si="4"/>
        <v>4</v>
      </c>
      <c r="R261" s="40"/>
    </row>
    <row r="262" spans="1:18" x14ac:dyDescent="0.2">
      <c r="A262" s="17">
        <v>261</v>
      </c>
      <c r="B262" s="62" t="s">
        <v>253</v>
      </c>
      <c r="C262" s="18">
        <v>613</v>
      </c>
      <c r="D262" s="62" t="s">
        <v>635</v>
      </c>
      <c r="E262" s="18" t="s">
        <v>25</v>
      </c>
      <c r="F262" s="74" t="str">
        <f>IF(E262="","",VLOOKUP(E262,Causas!$A$2:$B$90,2,FALSE))</f>
        <v>Quema de basura residencial o desechos vegetales</v>
      </c>
      <c r="G262" s="70" t="str">
        <f>IF(E262="","",VLOOKUP(E262,Causas!$A$2:$D$90,3,FALSE()))</f>
        <v>4.8</v>
      </c>
      <c r="H262" s="74" t="str">
        <f>IF(E262="","",VLOOKUP(E262,Causas!$A$2:$D$90,4,FALSE()))</f>
        <v>Otras quemas</v>
      </c>
      <c r="I262" s="74" t="str">
        <f>IF(E262="","",VLOOKUP(E262,Causas!$A$2:$E$90,5,FALSE()))</f>
        <v>Negligentes</v>
      </c>
      <c r="J262" s="18">
        <v>302658</v>
      </c>
      <c r="K262" s="18">
        <v>6112708</v>
      </c>
      <c r="L262" s="18">
        <v>3.5</v>
      </c>
      <c r="M262" s="18" t="s">
        <v>681</v>
      </c>
      <c r="N262" s="19" t="s">
        <v>837</v>
      </c>
      <c r="O262" s="31" t="s">
        <v>253</v>
      </c>
      <c r="P262" s="53">
        <v>46094</v>
      </c>
      <c r="Q262" s="40">
        <f t="shared" si="4"/>
        <v>3</v>
      </c>
      <c r="R262" s="40"/>
    </row>
    <row r="263" spans="1:18" x14ac:dyDescent="0.2">
      <c r="A263" s="17">
        <v>262</v>
      </c>
      <c r="B263" s="62" t="s">
        <v>271</v>
      </c>
      <c r="C263" s="18">
        <v>206</v>
      </c>
      <c r="D263" s="62" t="s">
        <v>636</v>
      </c>
      <c r="E263" s="18" t="s">
        <v>14</v>
      </c>
      <c r="F263" s="74" t="str">
        <f>IF(E263="","",VLOOKUP(E263,Causas!$A$2:$B$90,2,FALSE))</f>
        <v>Quema no avisada con fines de limpieza en canales, cunetas, cercos o caminos (en predios particulares o públicos) que se propaga libre y sin control</v>
      </c>
      <c r="G263" s="70" t="str">
        <f>IF(E263="","",VLOOKUP(E263,Causas!$A$2:$D$90,3,FALSE()))</f>
        <v>4.8</v>
      </c>
      <c r="H263" s="74" t="str">
        <f>IF(E263="","",VLOOKUP(E263,Causas!$A$2:$D$90,4,FALSE()))</f>
        <v>Otras quemas</v>
      </c>
      <c r="I263" s="74" t="str">
        <f>IF(E263="","",VLOOKUP(E263,Causas!$A$2:$E$90,5,FALSE()))</f>
        <v>Negligentes</v>
      </c>
      <c r="J263" s="18">
        <v>247422</v>
      </c>
      <c r="K263" s="18">
        <v>5990457</v>
      </c>
      <c r="L263" s="18">
        <v>0.2</v>
      </c>
      <c r="M263" s="18" t="s">
        <v>681</v>
      </c>
      <c r="N263" s="19" t="s">
        <v>838</v>
      </c>
      <c r="O263" s="31" t="s">
        <v>248</v>
      </c>
      <c r="P263" s="53">
        <v>46369</v>
      </c>
      <c r="Q263" s="40">
        <f t="shared" si="4"/>
        <v>12</v>
      </c>
      <c r="R263" s="40"/>
    </row>
    <row r="264" spans="1:18" x14ac:dyDescent="0.2">
      <c r="A264" s="17">
        <v>263</v>
      </c>
      <c r="B264" s="62" t="s">
        <v>271</v>
      </c>
      <c r="C264" s="18">
        <v>209</v>
      </c>
      <c r="D264" s="62" t="s">
        <v>637</v>
      </c>
      <c r="E264" s="18" t="s">
        <v>211</v>
      </c>
      <c r="F264" s="74" t="str">
        <f>IF(E264="","",VLOOKUP(E264,Causas!$A$2:$B$90,2,FALSE))</f>
        <v>Fuegos artificiales, bengalas, otros artefactos pirotécnicos o globos aerostáticos</v>
      </c>
      <c r="G264" s="70" t="str">
        <f>IF(E264="","",VLOOKUP(E264,Causas!$A$2:$D$90,3,FALSE()))</f>
        <v>4.10</v>
      </c>
      <c r="H264" s="74" t="str">
        <f>IF(E264="","",VLOOKUP(E264,Causas!$A$2:$D$90,4,FALSE()))</f>
        <v>Otras causas</v>
      </c>
      <c r="I264" s="74" t="str">
        <f>IF(E264="","",VLOOKUP(E264,Causas!$A$2:$E$90,5,FALSE()))</f>
        <v>Negligentes</v>
      </c>
      <c r="J264" s="18">
        <v>246498</v>
      </c>
      <c r="K264" s="18">
        <v>5994683</v>
      </c>
      <c r="L264" s="18">
        <v>3.9</v>
      </c>
      <c r="M264" s="18" t="s">
        <v>681</v>
      </c>
      <c r="N264" s="19" t="s">
        <v>839</v>
      </c>
      <c r="O264" s="31" t="s">
        <v>248</v>
      </c>
      <c r="P264" s="53">
        <v>46370</v>
      </c>
      <c r="Q264" s="40">
        <f t="shared" si="4"/>
        <v>12</v>
      </c>
      <c r="R264" s="40"/>
    </row>
    <row r="265" spans="1:18" x14ac:dyDescent="0.2">
      <c r="A265" s="17">
        <v>264</v>
      </c>
      <c r="B265" s="62" t="s">
        <v>242</v>
      </c>
      <c r="C265" s="18">
        <v>252</v>
      </c>
      <c r="D265" s="62" t="s">
        <v>638</v>
      </c>
      <c r="E265" s="18" t="s">
        <v>21</v>
      </c>
      <c r="F265" s="74" t="str">
        <f>IF(E265="","",VLOOKUP(E265,Causas!$A$2:$B$90,2,FALSE))</f>
        <v>Empleo de fuentes de calor en actividades relacionadas a parcelaciones (asados, tijerales, fogatas, otros)</v>
      </c>
      <c r="G265" s="70" t="str">
        <f>IF(E265="","",VLOOKUP(E265,Causas!$A$2:$D$90,3,FALSE()))</f>
        <v>4.6</v>
      </c>
      <c r="H265" s="74" t="str">
        <f>IF(E265="","",VLOOKUP(E265,Causas!$A$2:$D$90,4,FALSE()))</f>
        <v>Parcelaciones, edificaciones residenciales, industriales u otras en zonas rurales o de interfaz</v>
      </c>
      <c r="I265" s="74" t="str">
        <f>IF(E265="","",VLOOKUP(E265,Causas!$A$2:$E$90,5,FALSE()))</f>
        <v>Negligentes</v>
      </c>
      <c r="J265" s="18">
        <v>260870</v>
      </c>
      <c r="K265" s="18">
        <v>6070781</v>
      </c>
      <c r="L265" s="18">
        <v>0.7</v>
      </c>
      <c r="M265" s="18" t="s">
        <v>681</v>
      </c>
      <c r="N265" s="19" t="s">
        <v>840</v>
      </c>
      <c r="O265" s="31" t="s">
        <v>242</v>
      </c>
      <c r="P265" s="53">
        <v>46376</v>
      </c>
      <c r="Q265" s="40">
        <f t="shared" si="4"/>
        <v>12</v>
      </c>
      <c r="R265" s="40"/>
    </row>
    <row r="266" spans="1:18" x14ac:dyDescent="0.2">
      <c r="A266" s="17">
        <v>265</v>
      </c>
      <c r="B266" s="62" t="s">
        <v>242</v>
      </c>
      <c r="C266" s="18">
        <v>645</v>
      </c>
      <c r="D266" s="62" t="s">
        <v>639</v>
      </c>
      <c r="E266" s="18" t="s">
        <v>21</v>
      </c>
      <c r="F266" s="74" t="str">
        <f>IF(E266="","",VLOOKUP(E266,Causas!$A$2:$B$90,2,FALSE))</f>
        <v>Empleo de fuentes de calor en actividades relacionadas a parcelaciones (asados, tijerales, fogatas, otros)</v>
      </c>
      <c r="G266" s="70" t="str">
        <f>IF(E266="","",VLOOKUP(E266,Causas!$A$2:$D$90,3,FALSE()))</f>
        <v>4.6</v>
      </c>
      <c r="H266" s="74" t="str">
        <f>IF(E266="","",VLOOKUP(E266,Causas!$A$2:$D$90,4,FALSE()))</f>
        <v>Parcelaciones, edificaciones residenciales, industriales u otras en zonas rurales o de interfaz</v>
      </c>
      <c r="I266" s="74" t="str">
        <f>IF(E266="","",VLOOKUP(E266,Causas!$A$2:$E$90,5,FALSE()))</f>
        <v>Negligentes</v>
      </c>
      <c r="J266" s="18">
        <v>260684</v>
      </c>
      <c r="K266" s="18">
        <v>6070919</v>
      </c>
      <c r="L266" s="18">
        <v>1.4</v>
      </c>
      <c r="M266" s="18" t="s">
        <v>681</v>
      </c>
      <c r="N266" s="19" t="s">
        <v>841</v>
      </c>
      <c r="O266" s="31" t="s">
        <v>242</v>
      </c>
      <c r="P266" s="53">
        <v>46112</v>
      </c>
      <c r="Q266" s="40">
        <f t="shared" si="4"/>
        <v>3</v>
      </c>
      <c r="R266" s="40"/>
    </row>
    <row r="267" spans="1:18" x14ac:dyDescent="0.2">
      <c r="A267" s="17">
        <v>266</v>
      </c>
      <c r="B267" s="62" t="s">
        <v>242</v>
      </c>
      <c r="C267" s="18">
        <v>665</v>
      </c>
      <c r="D267" s="62" t="s">
        <v>640</v>
      </c>
      <c r="E267" s="18" t="s">
        <v>21</v>
      </c>
      <c r="F267" s="74" t="str">
        <f>IF(E267="","",VLOOKUP(E267,Causas!$A$2:$B$90,2,FALSE))</f>
        <v>Empleo de fuentes de calor en actividades relacionadas a parcelaciones (asados, tijerales, fogatas, otros)</v>
      </c>
      <c r="G267" s="70" t="str">
        <f>IF(E267="","",VLOOKUP(E267,Causas!$A$2:$D$90,3,FALSE()))</f>
        <v>4.6</v>
      </c>
      <c r="H267" s="74" t="str">
        <f>IF(E267="","",VLOOKUP(E267,Causas!$A$2:$D$90,4,FALSE()))</f>
        <v>Parcelaciones, edificaciones residenciales, industriales u otras en zonas rurales o de interfaz</v>
      </c>
      <c r="I267" s="74" t="str">
        <f>IF(E267="","",VLOOKUP(E267,Causas!$A$2:$E$90,5,FALSE()))</f>
        <v>Negligentes</v>
      </c>
      <c r="J267" s="18">
        <v>260562</v>
      </c>
      <c r="K267" s="18">
        <v>6071202</v>
      </c>
      <c r="L267" s="18">
        <v>3.8</v>
      </c>
      <c r="M267" s="18" t="s">
        <v>681</v>
      </c>
      <c r="N267" s="19" t="s">
        <v>842</v>
      </c>
      <c r="O267" s="31" t="s">
        <v>242</v>
      </c>
      <c r="P267" s="53">
        <v>46133</v>
      </c>
      <c r="Q267" s="40">
        <f t="shared" si="4"/>
        <v>4</v>
      </c>
      <c r="R267" s="40"/>
    </row>
    <row r="268" spans="1:18" x14ac:dyDescent="0.2">
      <c r="A268" s="17">
        <v>267</v>
      </c>
      <c r="B268" s="62" t="s">
        <v>249</v>
      </c>
      <c r="C268" s="18">
        <v>657</v>
      </c>
      <c r="D268" s="62" t="s">
        <v>641</v>
      </c>
      <c r="E268" s="18" t="s">
        <v>25</v>
      </c>
      <c r="F268" s="74" t="str">
        <f>IF(E268="","",VLOOKUP(E268,Causas!$A$2:$B$90,2,FALSE))</f>
        <v>Quema de basura residencial o desechos vegetales</v>
      </c>
      <c r="G268" s="70" t="str">
        <f>IF(E268="","",VLOOKUP(E268,Causas!$A$2:$D$90,3,FALSE()))</f>
        <v>4.8</v>
      </c>
      <c r="H268" s="74" t="str">
        <f>IF(E268="","",VLOOKUP(E268,Causas!$A$2:$D$90,4,FALSE()))</f>
        <v>Otras quemas</v>
      </c>
      <c r="I268" s="74" t="str">
        <f>IF(E268="","",VLOOKUP(E268,Causas!$A$2:$E$90,5,FALSE()))</f>
        <v>Negligentes</v>
      </c>
      <c r="J268" s="18">
        <v>300649</v>
      </c>
      <c r="K268" s="18">
        <v>6075535</v>
      </c>
      <c r="L268" s="18">
        <v>0.3</v>
      </c>
      <c r="M268" s="18" t="s">
        <v>681</v>
      </c>
      <c r="N268" s="19" t="s">
        <v>843</v>
      </c>
      <c r="O268" s="31" t="s">
        <v>242</v>
      </c>
      <c r="P268" s="53">
        <v>46123</v>
      </c>
      <c r="Q268" s="40">
        <f t="shared" si="4"/>
        <v>4</v>
      </c>
      <c r="R268" s="40"/>
    </row>
    <row r="269" spans="1:18" x14ac:dyDescent="0.2">
      <c r="A269" s="17">
        <v>268</v>
      </c>
      <c r="B269" s="62" t="s">
        <v>255</v>
      </c>
      <c r="C269" s="18">
        <v>344</v>
      </c>
      <c r="D269" s="62" t="s">
        <v>642</v>
      </c>
      <c r="E269" s="18" t="s">
        <v>25</v>
      </c>
      <c r="F269" s="74" t="str">
        <f>IF(E269="","",VLOOKUP(E269,Causas!$A$2:$B$90,2,FALSE))</f>
        <v>Quema de basura residencial o desechos vegetales</v>
      </c>
      <c r="G269" s="70" t="str">
        <f>IF(E269="","",VLOOKUP(E269,Causas!$A$2:$D$90,3,FALSE()))</f>
        <v>4.8</v>
      </c>
      <c r="H269" s="74" t="str">
        <f>IF(E269="","",VLOOKUP(E269,Causas!$A$2:$D$90,4,FALSE()))</f>
        <v>Otras quemas</v>
      </c>
      <c r="I269" s="74" t="str">
        <f>IF(E269="","",VLOOKUP(E269,Causas!$A$2:$E$90,5,FALSE()))</f>
        <v>Negligentes</v>
      </c>
      <c r="J269" s="18">
        <v>292723</v>
      </c>
      <c r="K269" s="18">
        <v>6077008</v>
      </c>
      <c r="L269" s="18">
        <v>3.3</v>
      </c>
      <c r="M269" s="18" t="s">
        <v>681</v>
      </c>
      <c r="N269" s="19" t="s">
        <v>844</v>
      </c>
      <c r="O269" s="31" t="s">
        <v>242</v>
      </c>
      <c r="P269" s="53">
        <v>46032</v>
      </c>
      <c r="Q269" s="40">
        <f t="shared" si="4"/>
        <v>1</v>
      </c>
      <c r="R269" s="40"/>
    </row>
    <row r="270" spans="1:18" x14ac:dyDescent="0.2">
      <c r="A270" s="17">
        <v>269</v>
      </c>
      <c r="B270" s="62" t="s">
        <v>255</v>
      </c>
      <c r="C270" s="18">
        <v>347</v>
      </c>
      <c r="D270" s="62" t="s">
        <v>439</v>
      </c>
      <c r="E270" s="18" t="s">
        <v>20</v>
      </c>
      <c r="F270" s="74" t="str">
        <f>IF(E270="","",VLOOKUP(E270,Causas!$A$2:$B$90,2,FALSE))</f>
        <v>Empleo de fuentes de calor en faena de extracción y/o confección de leña no industrial</v>
      </c>
      <c r="G270" s="70" t="str">
        <f>IF(E270="","",VLOOKUP(E270,Causas!$A$2:$D$90,3,FALSE()))</f>
        <v>4.11</v>
      </c>
      <c r="H270" s="74" t="str">
        <f>IF(E270="","",VLOOKUP(E270,Causas!$A$2:$D$90,4,FALSE()))</f>
        <v>Producción y/o extracción de productos y/o derivados del bosque</v>
      </c>
      <c r="I270" s="74" t="str">
        <f>IF(E270="","",VLOOKUP(E270,Causas!$A$2:$E$90,5,FALSE()))</f>
        <v>Negligentes</v>
      </c>
      <c r="J270" s="18">
        <v>281304</v>
      </c>
      <c r="K270" s="18">
        <v>6077967</v>
      </c>
      <c r="L270" s="18">
        <v>0.7</v>
      </c>
      <c r="M270" s="18" t="s">
        <v>681</v>
      </c>
      <c r="N270" s="19" t="s">
        <v>845</v>
      </c>
      <c r="O270" s="31" t="s">
        <v>242</v>
      </c>
      <c r="P270" s="53">
        <v>46033</v>
      </c>
      <c r="Q270" s="40">
        <f t="shared" si="4"/>
        <v>1</v>
      </c>
      <c r="R270" s="40"/>
    </row>
    <row r="271" spans="1:18" x14ac:dyDescent="0.2">
      <c r="A271" s="17">
        <v>270</v>
      </c>
      <c r="B271" s="62" t="s">
        <v>266</v>
      </c>
      <c r="C271" s="18">
        <v>641</v>
      </c>
      <c r="D271" s="62" t="s">
        <v>643</v>
      </c>
      <c r="E271" s="18" t="s">
        <v>21</v>
      </c>
      <c r="F271" s="74" t="str">
        <f>IF(E271="","",VLOOKUP(E271,Causas!$A$2:$B$90,2,FALSE))</f>
        <v>Empleo de fuentes de calor en actividades relacionadas a parcelaciones (asados, tijerales, fogatas, otros)</v>
      </c>
      <c r="G271" s="70" t="str">
        <f>IF(E271="","",VLOOKUP(E271,Causas!$A$2:$D$90,3,FALSE()))</f>
        <v>4.6</v>
      </c>
      <c r="H271" s="74" t="str">
        <f>IF(E271="","",VLOOKUP(E271,Causas!$A$2:$D$90,4,FALSE()))</f>
        <v>Parcelaciones, edificaciones residenciales, industriales u otras en zonas rurales o de interfaz</v>
      </c>
      <c r="I271" s="74" t="str">
        <f>IF(E271="","",VLOOKUP(E271,Causas!$A$2:$E$90,5,FALSE()))</f>
        <v>Negligentes</v>
      </c>
      <c r="J271" s="18">
        <v>228589</v>
      </c>
      <c r="K271" s="18">
        <v>6111473</v>
      </c>
      <c r="L271" s="18">
        <v>4.5999999999999996</v>
      </c>
      <c r="M271" s="18" t="s">
        <v>681</v>
      </c>
      <c r="N271" s="19" t="s">
        <v>846</v>
      </c>
      <c r="O271" s="31" t="s">
        <v>242</v>
      </c>
      <c r="P271" s="53">
        <v>46110</v>
      </c>
      <c r="Q271" s="40">
        <f t="shared" si="4"/>
        <v>3</v>
      </c>
      <c r="R271" s="40"/>
    </row>
    <row r="272" spans="1:18" x14ac:dyDescent="0.2">
      <c r="A272" s="17">
        <v>271</v>
      </c>
      <c r="B272" s="62" t="s">
        <v>266</v>
      </c>
      <c r="C272" s="18">
        <v>16</v>
      </c>
      <c r="D272" s="62" t="s">
        <v>644</v>
      </c>
      <c r="E272" s="18" t="s">
        <v>21</v>
      </c>
      <c r="F272" s="74" t="str">
        <f>IF(E272="","",VLOOKUP(E272,Causas!$A$2:$B$90,2,FALSE))</f>
        <v>Empleo de fuentes de calor en actividades relacionadas a parcelaciones (asados, tijerales, fogatas, otros)</v>
      </c>
      <c r="G272" s="70" t="str">
        <f>IF(E272="","",VLOOKUP(E272,Causas!$A$2:$D$90,3,FALSE()))</f>
        <v>4.6</v>
      </c>
      <c r="H272" s="74" t="str">
        <f>IF(E272="","",VLOOKUP(E272,Causas!$A$2:$D$90,4,FALSE()))</f>
        <v>Parcelaciones, edificaciones residenciales, industriales u otras en zonas rurales o de interfaz</v>
      </c>
      <c r="I272" s="74" t="str">
        <f>IF(E272="","",VLOOKUP(E272,Causas!$A$2:$E$90,5,FALSE()))</f>
        <v>Negligentes</v>
      </c>
      <c r="J272" s="18">
        <v>773559</v>
      </c>
      <c r="K272" s="18">
        <v>6116676</v>
      </c>
      <c r="L272" s="18">
        <v>0.49</v>
      </c>
      <c r="M272" s="18" t="s">
        <v>681</v>
      </c>
      <c r="N272" s="19" t="s">
        <v>847</v>
      </c>
      <c r="O272" s="31" t="s">
        <v>242</v>
      </c>
      <c r="P272" s="53">
        <v>46313</v>
      </c>
      <c r="Q272" s="40">
        <f t="shared" si="4"/>
        <v>10</v>
      </c>
      <c r="R272" s="40"/>
    </row>
    <row r="273" spans="1:18" x14ac:dyDescent="0.2">
      <c r="A273" s="17">
        <v>272</v>
      </c>
      <c r="B273" s="62" t="s">
        <v>249</v>
      </c>
      <c r="C273" s="18">
        <v>590</v>
      </c>
      <c r="D273" s="62" t="s">
        <v>645</v>
      </c>
      <c r="E273" s="18" t="s">
        <v>134</v>
      </c>
      <c r="F273" s="74" t="str">
        <f>IF(E273="","",VLOOKUP(E273,Causas!$A$2:$B$90,2,FALSE))</f>
        <v>Quema no avisada de desechos agrícolas que se propaga libre y sin control</v>
      </c>
      <c r="G273" s="70" t="str">
        <f>IF(E273="","",VLOOKUP(E273,Causas!$A$2:$D$90,3,FALSE()))</f>
        <v>4.2</v>
      </c>
      <c r="H273" s="74" t="str">
        <f>IF(E273="","",VLOOKUP(E273,Causas!$A$2:$D$90,4,FALSE()))</f>
        <v>Faenas agrícolas y pecuarias</v>
      </c>
      <c r="I273" s="74" t="str">
        <f>IF(E273="","",VLOOKUP(E273,Causas!$A$2:$E$90,5,FALSE()))</f>
        <v>Negligentes</v>
      </c>
      <c r="J273" s="18">
        <v>289744</v>
      </c>
      <c r="K273" s="18">
        <v>6064065</v>
      </c>
      <c r="L273" s="18">
        <v>0.5</v>
      </c>
      <c r="M273" s="18" t="s">
        <v>681</v>
      </c>
      <c r="N273" s="19" t="s">
        <v>848</v>
      </c>
      <c r="O273" s="31" t="s">
        <v>242</v>
      </c>
      <c r="P273" s="53">
        <v>46085</v>
      </c>
      <c r="Q273" s="40">
        <f t="shared" si="4"/>
        <v>3</v>
      </c>
      <c r="R273" s="40"/>
    </row>
    <row r="274" spans="1:18" x14ac:dyDescent="0.2">
      <c r="A274" s="17">
        <v>273</v>
      </c>
      <c r="B274" s="62" t="s">
        <v>249</v>
      </c>
      <c r="C274" s="18">
        <v>353</v>
      </c>
      <c r="D274" s="62" t="s">
        <v>597</v>
      </c>
      <c r="E274" s="18" t="s">
        <v>207</v>
      </c>
      <c r="F274" s="74" t="str">
        <f>IF(E274="","",VLOOKUP(E274,Causas!$A$2:$B$90,2,FALSE))</f>
        <v>Acciones asociadas a fumar</v>
      </c>
      <c r="G274" s="70" t="str">
        <f>IF(E274="","",VLOOKUP(E274,Causas!$A$2:$D$90,3,FALSE()))</f>
        <v>4.10</v>
      </c>
      <c r="H274" s="74" t="str">
        <f>IF(E274="","",VLOOKUP(E274,Causas!$A$2:$D$90,4,FALSE()))</f>
        <v>Otras causas</v>
      </c>
      <c r="I274" s="74" t="str">
        <f>IF(E274="","",VLOOKUP(E274,Causas!$A$2:$E$90,5,FALSE()))</f>
        <v>Negligentes</v>
      </c>
      <c r="J274" s="18">
        <v>276669</v>
      </c>
      <c r="K274" s="18">
        <v>6062221</v>
      </c>
      <c r="L274" s="18">
        <v>0.2</v>
      </c>
      <c r="M274" s="18" t="s">
        <v>681</v>
      </c>
      <c r="N274" s="19" t="s">
        <v>849</v>
      </c>
      <c r="O274" s="31" t="s">
        <v>242</v>
      </c>
      <c r="P274" s="53">
        <v>46034</v>
      </c>
      <c r="Q274" s="40">
        <f t="shared" si="4"/>
        <v>1</v>
      </c>
      <c r="R274" s="40"/>
    </row>
    <row r="275" spans="1:18" x14ac:dyDescent="0.2">
      <c r="A275" s="17">
        <v>274</v>
      </c>
      <c r="B275" s="62" t="s">
        <v>249</v>
      </c>
      <c r="C275" s="18">
        <v>268</v>
      </c>
      <c r="D275" s="62" t="s">
        <v>646</v>
      </c>
      <c r="E275" s="18" t="s">
        <v>25</v>
      </c>
      <c r="F275" s="74" t="str">
        <f>IF(E275="","",VLOOKUP(E275,Causas!$A$2:$B$90,2,FALSE))</f>
        <v>Quema de basura residencial o desechos vegetales</v>
      </c>
      <c r="G275" s="70" t="str">
        <f>IF(E275="","",VLOOKUP(E275,Causas!$A$2:$D$90,3,FALSE()))</f>
        <v>4.8</v>
      </c>
      <c r="H275" s="74" t="str">
        <f>IF(E275="","",VLOOKUP(E275,Causas!$A$2:$D$90,4,FALSE()))</f>
        <v>Otras quemas</v>
      </c>
      <c r="I275" s="74" t="str">
        <f>IF(E275="","",VLOOKUP(E275,Causas!$A$2:$E$90,5,FALSE()))</f>
        <v>Negligentes</v>
      </c>
      <c r="J275" s="18">
        <v>274451</v>
      </c>
      <c r="K275" s="18">
        <v>6068895</v>
      </c>
      <c r="L275" s="18">
        <v>2</v>
      </c>
      <c r="M275" s="18" t="s">
        <v>681</v>
      </c>
      <c r="N275" s="19" t="s">
        <v>850</v>
      </c>
      <c r="O275" s="31" t="s">
        <v>242</v>
      </c>
      <c r="P275" s="53">
        <v>46380</v>
      </c>
      <c r="Q275" s="40">
        <f t="shared" si="4"/>
        <v>12</v>
      </c>
      <c r="R275" s="40"/>
    </row>
    <row r="276" spans="1:18" x14ac:dyDescent="0.2">
      <c r="A276" s="17">
        <v>275</v>
      </c>
      <c r="B276" s="62" t="s">
        <v>258</v>
      </c>
      <c r="C276" s="18">
        <v>653</v>
      </c>
      <c r="D276" s="62" t="s">
        <v>455</v>
      </c>
      <c r="E276" s="18" t="s">
        <v>20</v>
      </c>
      <c r="F276" s="74" t="str">
        <f>IF(E276="","",VLOOKUP(E276,Causas!$A$2:$B$90,2,FALSE))</f>
        <v>Empleo de fuentes de calor en faena de extracción y/o confección de leña no industrial</v>
      </c>
      <c r="G276" s="70" t="str">
        <f>IF(E276="","",VLOOKUP(E276,Causas!$A$2:$D$90,3,FALSE()))</f>
        <v>4.11</v>
      </c>
      <c r="H276" s="74" t="str">
        <f>IF(E276="","",VLOOKUP(E276,Causas!$A$2:$D$90,4,FALSE()))</f>
        <v>Producción y/o extracción de productos y/o derivados del bosque</v>
      </c>
      <c r="I276" s="74" t="str">
        <f>IF(E276="","",VLOOKUP(E276,Causas!$A$2:$E$90,5,FALSE()))</f>
        <v>Negligentes</v>
      </c>
      <c r="J276" s="18">
        <v>253651</v>
      </c>
      <c r="K276" s="18">
        <v>6011344</v>
      </c>
      <c r="L276" s="18">
        <v>0.1</v>
      </c>
      <c r="M276" s="18" t="s">
        <v>682</v>
      </c>
      <c r="N276" s="19" t="s">
        <v>851</v>
      </c>
      <c r="O276" s="31" t="s">
        <v>248</v>
      </c>
      <c r="P276" s="53">
        <v>46118</v>
      </c>
      <c r="Q276" s="40">
        <f t="shared" si="4"/>
        <v>4</v>
      </c>
      <c r="R276" s="40"/>
    </row>
    <row r="277" spans="1:18" x14ac:dyDescent="0.2">
      <c r="A277" s="17">
        <v>276</v>
      </c>
      <c r="B277" s="62" t="s">
        <v>247</v>
      </c>
      <c r="C277" s="18">
        <v>311</v>
      </c>
      <c r="D277" s="62" t="s">
        <v>647</v>
      </c>
      <c r="E277" s="18" t="s">
        <v>207</v>
      </c>
      <c r="F277" s="74" t="str">
        <f>IF(E277="","",VLOOKUP(E277,Causas!$A$2:$B$90,2,FALSE))</f>
        <v>Acciones asociadas a fumar</v>
      </c>
      <c r="G277" s="70" t="str">
        <f>IF(E277="","",VLOOKUP(E277,Causas!$A$2:$D$90,3,FALSE()))</f>
        <v>4.10</v>
      </c>
      <c r="H277" s="74" t="str">
        <f>IF(E277="","",VLOOKUP(E277,Causas!$A$2:$D$90,4,FALSE()))</f>
        <v>Otras causas</v>
      </c>
      <c r="I277" s="74" t="str">
        <f>IF(E277="","",VLOOKUP(E277,Causas!$A$2:$E$90,5,FALSE()))</f>
        <v>Negligentes</v>
      </c>
      <c r="J277" s="18">
        <v>255417</v>
      </c>
      <c r="K277" s="18">
        <v>6013386</v>
      </c>
      <c r="L277" s="18">
        <v>0.1</v>
      </c>
      <c r="M277" s="18" t="s">
        <v>682</v>
      </c>
      <c r="N277" s="19" t="s">
        <v>852</v>
      </c>
      <c r="O277" s="31" t="s">
        <v>248</v>
      </c>
      <c r="P277" s="53">
        <v>46024</v>
      </c>
      <c r="Q277" s="40">
        <f t="shared" si="4"/>
        <v>1</v>
      </c>
      <c r="R277" s="40"/>
    </row>
    <row r="278" spans="1:18" x14ac:dyDescent="0.2">
      <c r="A278" s="17">
        <v>277</v>
      </c>
      <c r="B278" s="62" t="s">
        <v>248</v>
      </c>
      <c r="C278" s="18">
        <v>673</v>
      </c>
      <c r="D278" s="62" t="s">
        <v>567</v>
      </c>
      <c r="E278" s="18" t="s">
        <v>20</v>
      </c>
      <c r="F278" s="74" t="str">
        <f>IF(E278="","",VLOOKUP(E278,Causas!$A$2:$B$90,2,FALSE))</f>
        <v>Empleo de fuentes de calor en faena de extracción y/o confección de leña no industrial</v>
      </c>
      <c r="G278" s="70" t="str">
        <f>IF(E278="","",VLOOKUP(E278,Causas!$A$2:$D$90,3,FALSE()))</f>
        <v>4.11</v>
      </c>
      <c r="H278" s="74" t="str">
        <f>IF(E278="","",VLOOKUP(E278,Causas!$A$2:$D$90,4,FALSE()))</f>
        <v>Producción y/o extracción de productos y/o derivados del bosque</v>
      </c>
      <c r="I278" s="74" t="str">
        <f>IF(E278="","",VLOOKUP(E278,Causas!$A$2:$E$90,5,FALSE()))</f>
        <v>Negligentes</v>
      </c>
      <c r="J278" s="18">
        <v>248459</v>
      </c>
      <c r="K278" s="18">
        <v>6036836</v>
      </c>
      <c r="L278" s="18">
        <v>3.8</v>
      </c>
      <c r="M278" s="18" t="s">
        <v>682</v>
      </c>
      <c r="N278" s="19" t="s">
        <v>853</v>
      </c>
      <c r="O278" s="31" t="s">
        <v>248</v>
      </c>
      <c r="P278" s="53">
        <v>46138</v>
      </c>
      <c r="Q278" s="40">
        <f t="shared" si="4"/>
        <v>4</v>
      </c>
      <c r="R278" s="40"/>
    </row>
    <row r="279" spans="1:18" x14ac:dyDescent="0.2">
      <c r="A279" s="17">
        <v>278</v>
      </c>
      <c r="B279" s="62" t="s">
        <v>247</v>
      </c>
      <c r="C279" s="18">
        <v>672</v>
      </c>
      <c r="D279" s="62" t="s">
        <v>648</v>
      </c>
      <c r="E279" s="18" t="s">
        <v>134</v>
      </c>
      <c r="F279" s="74" t="str">
        <f>IF(E279="","",VLOOKUP(E279,Causas!$A$2:$B$90,2,FALSE))</f>
        <v>Quema no avisada de desechos agrícolas que se propaga libre y sin control</v>
      </c>
      <c r="G279" s="70" t="str">
        <f>IF(E279="","",VLOOKUP(E279,Causas!$A$2:$D$90,3,FALSE()))</f>
        <v>4.2</v>
      </c>
      <c r="H279" s="74" t="str">
        <f>IF(E279="","",VLOOKUP(E279,Causas!$A$2:$D$90,4,FALSE()))</f>
        <v>Faenas agrícolas y pecuarias</v>
      </c>
      <c r="I279" s="74" t="str">
        <f>IF(E279="","",VLOOKUP(E279,Causas!$A$2:$E$90,5,FALSE()))</f>
        <v>Negligentes</v>
      </c>
      <c r="J279" s="18">
        <v>260303</v>
      </c>
      <c r="K279" s="18">
        <v>6022521</v>
      </c>
      <c r="L279" s="18">
        <v>0.3</v>
      </c>
      <c r="M279" s="18" t="s">
        <v>682</v>
      </c>
      <c r="N279" s="19" t="s">
        <v>854</v>
      </c>
      <c r="O279" s="31" t="s">
        <v>248</v>
      </c>
      <c r="P279" s="53">
        <v>46138</v>
      </c>
      <c r="Q279" s="40">
        <f t="shared" si="4"/>
        <v>4</v>
      </c>
      <c r="R279" s="40"/>
    </row>
    <row r="280" spans="1:18" x14ac:dyDescent="0.2">
      <c r="A280" s="17">
        <v>279</v>
      </c>
      <c r="B280" s="62" t="s">
        <v>254</v>
      </c>
      <c r="C280" s="18">
        <v>670</v>
      </c>
      <c r="D280" s="62" t="s">
        <v>649</v>
      </c>
      <c r="E280" s="18" t="s">
        <v>134</v>
      </c>
      <c r="F280" s="74" t="str">
        <f>IF(E280="","",VLOOKUP(E280,Causas!$A$2:$B$90,2,FALSE))</f>
        <v>Quema no avisada de desechos agrícolas que se propaga libre y sin control</v>
      </c>
      <c r="G280" s="70" t="str">
        <f>IF(E280="","",VLOOKUP(E280,Causas!$A$2:$D$90,3,FALSE()))</f>
        <v>4.2</v>
      </c>
      <c r="H280" s="74" t="str">
        <f>IF(E280="","",VLOOKUP(E280,Causas!$A$2:$D$90,4,FALSE()))</f>
        <v>Faenas agrícolas y pecuarias</v>
      </c>
      <c r="I280" s="74" t="str">
        <f>IF(E280="","",VLOOKUP(E280,Causas!$A$2:$E$90,5,FALSE()))</f>
        <v>Negligentes</v>
      </c>
      <c r="J280" s="18">
        <v>261943</v>
      </c>
      <c r="K280" s="18">
        <v>6057775</v>
      </c>
      <c r="L280" s="18">
        <v>0.2</v>
      </c>
      <c r="M280" s="18" t="s">
        <v>682</v>
      </c>
      <c r="N280" s="19" t="s">
        <v>855</v>
      </c>
      <c r="O280" s="31" t="s">
        <v>248</v>
      </c>
      <c r="P280" s="53">
        <v>46136</v>
      </c>
      <c r="Q280" s="40">
        <f t="shared" si="4"/>
        <v>4</v>
      </c>
      <c r="R280" s="40"/>
    </row>
    <row r="281" spans="1:18" x14ac:dyDescent="0.2">
      <c r="A281" s="17">
        <v>280</v>
      </c>
      <c r="B281" s="62" t="s">
        <v>265</v>
      </c>
      <c r="C281" s="18">
        <v>431</v>
      </c>
      <c r="D281" s="62" t="s">
        <v>650</v>
      </c>
      <c r="E281" s="18" t="s">
        <v>189</v>
      </c>
      <c r="F281" s="74" t="str">
        <f>IF(E281="","",VLOOKUP(E281,Causas!$A$2:$B$90,2,FALSE))</f>
        <v>Combustión de la vegetación, producto del contacto o proximidad con el tendido eléctrico</v>
      </c>
      <c r="G281" s="70" t="str">
        <f>IF(E281="","",VLOOKUP(E281,Causas!$A$2:$D$90,3,FALSE()))</f>
        <v>4.9</v>
      </c>
      <c r="H281" s="74" t="str">
        <f>IF(E281="","",VLOOKUP(E281,Causas!$A$2:$D$90,4,FALSE()))</f>
        <v>Líneas eléctricas</v>
      </c>
      <c r="I281" s="74" t="str">
        <f>IF(E281="","",VLOOKUP(E281,Causas!$A$2:$E$90,5,FALSE()))</f>
        <v>Negligentes</v>
      </c>
      <c r="J281" s="18">
        <v>270158</v>
      </c>
      <c r="K281" s="18">
        <v>6055503</v>
      </c>
      <c r="L281" s="18">
        <v>0.7</v>
      </c>
      <c r="M281" s="18" t="s">
        <v>682</v>
      </c>
      <c r="N281" s="19" t="s">
        <v>856</v>
      </c>
      <c r="O281" s="31" t="s">
        <v>248</v>
      </c>
      <c r="P281" s="53">
        <v>46079</v>
      </c>
      <c r="Q281" s="40">
        <f t="shared" si="4"/>
        <v>2</v>
      </c>
      <c r="R281" s="40"/>
    </row>
    <row r="282" spans="1:18" x14ac:dyDescent="0.2">
      <c r="A282" s="17">
        <v>281</v>
      </c>
      <c r="B282" s="62" t="s">
        <v>265</v>
      </c>
      <c r="C282" s="18">
        <v>258</v>
      </c>
      <c r="D282" s="62" t="s">
        <v>651</v>
      </c>
      <c r="E282" s="18" t="s">
        <v>93</v>
      </c>
      <c r="F282" s="74" t="str">
        <f>IF(E282="","",VLOOKUP(E282,Causas!$A$2:$B$90,2,FALSE))</f>
        <v>Provocado, no se identifica la motivación</v>
      </c>
      <c r="G282" s="70" t="str">
        <f>IF(E282="","",VLOOKUP(E282,Causas!$A$2:$D$90,3,FALSE()))</f>
        <v>2.1</v>
      </c>
      <c r="H282" s="74" t="str">
        <f>IF(E282="","",VLOOKUP(E282,Causas!$A$2:$D$90,4,FALSE()))</f>
        <v>Incendios intencionales</v>
      </c>
      <c r="I282" s="74" t="str">
        <f>IF(E282="","",VLOOKUP(E282,Causas!$A$2:$E$90,5,FALSE()))</f>
        <v>Intencionales</v>
      </c>
      <c r="J282" s="18">
        <v>271388</v>
      </c>
      <c r="K282" s="18">
        <v>6055470</v>
      </c>
      <c r="L282" s="18">
        <v>0.5</v>
      </c>
      <c r="M282" s="18" t="s">
        <v>682</v>
      </c>
      <c r="N282" s="19" t="s">
        <v>857</v>
      </c>
      <c r="O282" s="31" t="s">
        <v>248</v>
      </c>
      <c r="P282" s="53">
        <v>46013</v>
      </c>
      <c r="Q282" s="40">
        <f t="shared" si="4"/>
        <v>12</v>
      </c>
      <c r="R282" s="40"/>
    </row>
    <row r="283" spans="1:18" x14ac:dyDescent="0.2">
      <c r="A283" s="17">
        <v>282</v>
      </c>
      <c r="B283" s="62" t="s">
        <v>271</v>
      </c>
      <c r="C283" s="18">
        <v>308</v>
      </c>
      <c r="D283" s="62" t="s">
        <v>318</v>
      </c>
      <c r="E283" s="18" t="s">
        <v>148</v>
      </c>
      <c r="F283" s="74" t="str">
        <f>IF(E283="","",VLOOKUP(E283,Causas!$A$2:$B$90,2,FALSE))</f>
        <v>Otras causas negligentes no clasificadas en faenas agrícolas y pecuarias</v>
      </c>
      <c r="G283" s="70" t="str">
        <f>IF(E283="","",VLOOKUP(E283,Causas!$A$2:$D$90,3,FALSE()))</f>
        <v>4.2</v>
      </c>
      <c r="H283" s="74" t="str">
        <f>IF(E283="","",VLOOKUP(E283,Causas!$A$2:$D$90,4,FALSE()))</f>
        <v>Faenas agrícolas y pecuarias</v>
      </c>
      <c r="I283" s="74" t="str">
        <f>IF(E283="","",VLOOKUP(E283,Causas!$A$2:$E$90,5,FALSE()))</f>
        <v>Negligentes</v>
      </c>
      <c r="J283" s="18">
        <v>769514</v>
      </c>
      <c r="K283" s="18">
        <v>6011577</v>
      </c>
      <c r="L283" s="18">
        <v>21.5</v>
      </c>
      <c r="M283" s="18" t="s">
        <v>682</v>
      </c>
      <c r="N283" s="19" t="s">
        <v>858</v>
      </c>
      <c r="O283" s="31" t="s">
        <v>248</v>
      </c>
      <c r="P283" s="53">
        <v>46023</v>
      </c>
      <c r="Q283" s="40">
        <f t="shared" si="4"/>
        <v>1</v>
      </c>
      <c r="R283" s="40"/>
    </row>
    <row r="284" spans="1:18" x14ac:dyDescent="0.2">
      <c r="A284" s="17">
        <v>283</v>
      </c>
      <c r="B284" s="62" t="s">
        <v>258</v>
      </c>
      <c r="C284" s="18">
        <v>585</v>
      </c>
      <c r="D284" s="62" t="s">
        <v>652</v>
      </c>
      <c r="E284" s="18" t="s">
        <v>198</v>
      </c>
      <c r="F284" s="74" t="str">
        <f>IF(E284="","",VLOOKUP(E284,Causas!$A$2:$B$90,2,FALSE))</f>
        <v>Otras causas eléctricas negligentes no  clasificadas</v>
      </c>
      <c r="G284" s="70" t="str">
        <f>IF(E284="","",VLOOKUP(E284,Causas!$A$2:$D$90,3,FALSE()))</f>
        <v>4.9</v>
      </c>
      <c r="H284" s="74" t="str">
        <f>IF(E284="","",VLOOKUP(E284,Causas!$A$2:$D$90,4,FALSE()))</f>
        <v>Líneas eléctricas</v>
      </c>
      <c r="I284" s="74" t="str">
        <f>IF(E284="","",VLOOKUP(E284,Causas!$A$2:$E$90,5,FALSE()))</f>
        <v>Negligentes</v>
      </c>
      <c r="J284" s="18">
        <v>768775</v>
      </c>
      <c r="K284" s="18">
        <v>6024589</v>
      </c>
      <c r="L284" s="18">
        <v>5.3</v>
      </c>
      <c r="M284" s="18" t="s">
        <v>682</v>
      </c>
      <c r="N284" s="19" t="s">
        <v>859</v>
      </c>
      <c r="O284" s="31" t="s">
        <v>248</v>
      </c>
      <c r="P284" s="53">
        <v>46084</v>
      </c>
      <c r="Q284" s="40">
        <f t="shared" si="4"/>
        <v>3</v>
      </c>
      <c r="R284" s="40"/>
    </row>
    <row r="285" spans="1:18" x14ac:dyDescent="0.2">
      <c r="A285" s="17">
        <v>284</v>
      </c>
      <c r="B285" s="62" t="s">
        <v>258</v>
      </c>
      <c r="C285" s="18">
        <v>530</v>
      </c>
      <c r="D285" s="62" t="s">
        <v>653</v>
      </c>
      <c r="E285" s="18" t="s">
        <v>198</v>
      </c>
      <c r="F285" s="74" t="str">
        <f>IF(E285="","",VLOOKUP(E285,Causas!$A$2:$B$90,2,FALSE))</f>
        <v>Otras causas eléctricas negligentes no  clasificadas</v>
      </c>
      <c r="G285" s="70" t="str">
        <f>IF(E285="","",VLOOKUP(E285,Causas!$A$2:$D$90,3,FALSE()))</f>
        <v>4.9</v>
      </c>
      <c r="H285" s="74" t="str">
        <f>IF(E285="","",VLOOKUP(E285,Causas!$A$2:$D$90,4,FALSE()))</f>
        <v>Líneas eléctricas</v>
      </c>
      <c r="I285" s="74" t="str">
        <f>IF(E285="","",VLOOKUP(E285,Causas!$A$2:$E$90,5,FALSE()))</f>
        <v>Negligentes</v>
      </c>
      <c r="J285" s="18">
        <v>768845</v>
      </c>
      <c r="K285" s="18">
        <v>6023982</v>
      </c>
      <c r="L285" s="18">
        <v>0.8</v>
      </c>
      <c r="M285" s="18" t="s">
        <v>682</v>
      </c>
      <c r="N285" s="19" t="s">
        <v>860</v>
      </c>
      <c r="O285" s="31" t="s">
        <v>248</v>
      </c>
      <c r="P285" s="53">
        <v>46070</v>
      </c>
      <c r="Q285" s="40">
        <f t="shared" si="4"/>
        <v>2</v>
      </c>
      <c r="R285" s="40"/>
    </row>
    <row r="286" spans="1:18" x14ac:dyDescent="0.2">
      <c r="A286" s="17">
        <v>285</v>
      </c>
      <c r="B286" s="62" t="s">
        <v>27</v>
      </c>
      <c r="C286" s="18">
        <v>658</v>
      </c>
      <c r="D286" s="62" t="s">
        <v>654</v>
      </c>
      <c r="E286" s="18" t="s">
        <v>207</v>
      </c>
      <c r="F286" s="74" t="str">
        <f>IF(E286="","",VLOOKUP(E286,Causas!$A$2:$B$90,2,FALSE))</f>
        <v>Acciones asociadas a fumar</v>
      </c>
      <c r="G286" s="70" t="str">
        <f>IF(E286="","",VLOOKUP(E286,Causas!$A$2:$D$90,3,FALSE()))</f>
        <v>4.10</v>
      </c>
      <c r="H286" s="74" t="str">
        <f>IF(E286="","",VLOOKUP(E286,Causas!$A$2:$D$90,4,FALSE()))</f>
        <v>Otras causas</v>
      </c>
      <c r="I286" s="74" t="str">
        <f>IF(E286="","",VLOOKUP(E286,Causas!$A$2:$E$90,5,FALSE()))</f>
        <v>Negligentes</v>
      </c>
      <c r="J286" s="18">
        <v>741256</v>
      </c>
      <c r="K286" s="18">
        <v>6077426</v>
      </c>
      <c r="L286" s="18">
        <v>0.01</v>
      </c>
      <c r="M286" s="18" t="s">
        <v>682</v>
      </c>
      <c r="N286" s="19" t="s">
        <v>861</v>
      </c>
      <c r="O286" s="31" t="s">
        <v>242</v>
      </c>
      <c r="P286" s="53">
        <v>46124</v>
      </c>
      <c r="Q286" s="40">
        <f t="shared" si="4"/>
        <v>4</v>
      </c>
      <c r="R286" s="40"/>
    </row>
    <row r="287" spans="1:18" x14ac:dyDescent="0.2">
      <c r="A287" s="17">
        <v>286</v>
      </c>
      <c r="B287" s="62" t="s">
        <v>27</v>
      </c>
      <c r="C287" s="18">
        <v>674</v>
      </c>
      <c r="D287" s="62" t="s">
        <v>655</v>
      </c>
      <c r="E287" s="18" t="s">
        <v>20</v>
      </c>
      <c r="F287" s="74" t="str">
        <f>IF(E287="","",VLOOKUP(E287,Causas!$A$2:$B$90,2,FALSE))</f>
        <v>Empleo de fuentes de calor en faena de extracción y/o confección de leña no industrial</v>
      </c>
      <c r="G287" s="70" t="str">
        <f>IF(E287="","",VLOOKUP(E287,Causas!$A$2:$D$90,3,FALSE()))</f>
        <v>4.11</v>
      </c>
      <c r="H287" s="74" t="str">
        <f>IF(E287="","",VLOOKUP(E287,Causas!$A$2:$D$90,4,FALSE()))</f>
        <v>Producción y/o extracción de productos y/o derivados del bosque</v>
      </c>
      <c r="I287" s="74" t="str">
        <f>IF(E287="","",VLOOKUP(E287,Causas!$A$2:$E$90,5,FALSE()))</f>
        <v>Negligentes</v>
      </c>
      <c r="J287" s="18">
        <v>733580</v>
      </c>
      <c r="K287" s="18">
        <v>6084526</v>
      </c>
      <c r="L287" s="18">
        <v>0.6</v>
      </c>
      <c r="M287" s="18" t="s">
        <v>682</v>
      </c>
      <c r="N287" s="19" t="s">
        <v>862</v>
      </c>
      <c r="O287" s="31" t="s">
        <v>242</v>
      </c>
      <c r="P287" s="53">
        <v>46138</v>
      </c>
      <c r="Q287" s="40">
        <f t="shared" si="4"/>
        <v>4</v>
      </c>
      <c r="R287" s="40"/>
    </row>
    <row r="288" spans="1:18" x14ac:dyDescent="0.2">
      <c r="A288" s="17">
        <v>287</v>
      </c>
      <c r="B288" s="62" t="s">
        <v>258</v>
      </c>
      <c r="C288" s="18">
        <v>664</v>
      </c>
      <c r="D288" s="62" t="s">
        <v>656</v>
      </c>
      <c r="E288" s="18" t="s">
        <v>16</v>
      </c>
      <c r="F288" s="74" t="str">
        <f>IF(E288="","",VLOOKUP(E288,Causas!$A$2:$B$90,2,FALSE))</f>
        <v>Quema no avisada de desechos forestales que se propaga libre y sin control</v>
      </c>
      <c r="G288" s="70" t="str">
        <f>IF(E288="","",VLOOKUP(E288,Causas!$A$2:$D$90,3,FALSE()))</f>
        <v>4.1</v>
      </c>
      <c r="H288" s="74" t="str">
        <f>IF(E288="","",VLOOKUP(E288,Causas!$A$2:$D$90,4,FALSE()))</f>
        <v>Faenas forestales</v>
      </c>
      <c r="I288" s="74" t="str">
        <f>IF(E288="","",VLOOKUP(E288,Causas!$A$2:$E$90,5,FALSE()))</f>
        <v>Negligentes</v>
      </c>
      <c r="J288" s="18">
        <v>232024</v>
      </c>
      <c r="K288" s="18">
        <v>6025670</v>
      </c>
      <c r="L288" s="18">
        <v>0.5</v>
      </c>
      <c r="M288" s="18" t="s">
        <v>682</v>
      </c>
      <c r="N288" s="19" t="s">
        <v>863</v>
      </c>
      <c r="O288" s="31" t="s">
        <v>248</v>
      </c>
      <c r="P288" s="53">
        <v>46128</v>
      </c>
      <c r="Q288" s="40">
        <f t="shared" si="4"/>
        <v>4</v>
      </c>
      <c r="R288" s="40"/>
    </row>
    <row r="289" spans="1:18" x14ac:dyDescent="0.2">
      <c r="A289" s="17">
        <v>288</v>
      </c>
      <c r="B289" s="62" t="s">
        <v>252</v>
      </c>
      <c r="C289" s="18">
        <v>676</v>
      </c>
      <c r="D289" s="62" t="s">
        <v>657</v>
      </c>
      <c r="E289" s="18" t="s">
        <v>20</v>
      </c>
      <c r="F289" s="74" t="str">
        <f>IF(E289="","",VLOOKUP(E289,Causas!$A$2:$B$90,2,FALSE))</f>
        <v>Empleo de fuentes de calor en faena de extracción y/o confección de leña no industrial</v>
      </c>
      <c r="G289" s="70" t="str">
        <f>IF(E289="","",VLOOKUP(E289,Causas!$A$2:$D$90,3,FALSE()))</f>
        <v>4.11</v>
      </c>
      <c r="H289" s="74" t="str">
        <f>IF(E289="","",VLOOKUP(E289,Causas!$A$2:$D$90,4,FALSE()))</f>
        <v>Producción y/o extracción de productos y/o derivados del bosque</v>
      </c>
      <c r="I289" s="74" t="str">
        <f>IF(E289="","",VLOOKUP(E289,Causas!$A$2:$E$90,5,FALSE()))</f>
        <v>Negligentes</v>
      </c>
      <c r="J289" s="18">
        <v>259704</v>
      </c>
      <c r="K289" s="18">
        <v>6111593</v>
      </c>
      <c r="L289" s="18">
        <v>0.5</v>
      </c>
      <c r="M289" s="18" t="s">
        <v>682</v>
      </c>
      <c r="N289" s="19" t="s">
        <v>864</v>
      </c>
      <c r="O289" s="31" t="s">
        <v>253</v>
      </c>
      <c r="P289" s="53">
        <v>46145</v>
      </c>
      <c r="Q289" s="40">
        <f t="shared" si="4"/>
        <v>5</v>
      </c>
      <c r="R289" s="40"/>
    </row>
    <row r="290" spans="1:18" x14ac:dyDescent="0.2">
      <c r="A290" s="17">
        <v>289</v>
      </c>
      <c r="B290" s="62" t="s">
        <v>251</v>
      </c>
      <c r="C290" s="18">
        <v>671</v>
      </c>
      <c r="D290" s="62" t="s">
        <v>658</v>
      </c>
      <c r="E290" s="18" t="s">
        <v>25</v>
      </c>
      <c r="F290" s="74" t="str">
        <f>IF(E290="","",VLOOKUP(E290,Causas!$A$2:$B$90,2,FALSE))</f>
        <v>Quema de basura residencial o desechos vegetales</v>
      </c>
      <c r="G290" s="70" t="str">
        <f>IF(E290="","",VLOOKUP(E290,Causas!$A$2:$D$90,3,FALSE()))</f>
        <v>4.8</v>
      </c>
      <c r="H290" s="74" t="str">
        <f>IF(E290="","",VLOOKUP(E290,Causas!$A$2:$D$90,4,FALSE()))</f>
        <v>Otras quemas</v>
      </c>
      <c r="I290" s="74" t="str">
        <f>IF(E290="","",VLOOKUP(E290,Causas!$A$2:$E$90,5,FALSE()))</f>
        <v>Negligentes</v>
      </c>
      <c r="J290" s="18">
        <v>260543</v>
      </c>
      <c r="K290" s="18">
        <v>6115608</v>
      </c>
      <c r="L290" s="18">
        <v>0.15</v>
      </c>
      <c r="M290" s="18" t="s">
        <v>682</v>
      </c>
      <c r="N290" s="19" t="s">
        <v>865</v>
      </c>
      <c r="O290" s="31" t="s">
        <v>253</v>
      </c>
      <c r="P290" s="53">
        <v>46137</v>
      </c>
      <c r="Q290" s="40">
        <f t="shared" si="4"/>
        <v>4</v>
      </c>
      <c r="R290" s="40"/>
    </row>
    <row r="291" spans="1:18" x14ac:dyDescent="0.2">
      <c r="A291" s="17">
        <v>290</v>
      </c>
      <c r="B291" s="62" t="s">
        <v>263</v>
      </c>
      <c r="C291" s="18">
        <v>535</v>
      </c>
      <c r="D291" s="62" t="s">
        <v>659</v>
      </c>
      <c r="E291" s="18" t="s">
        <v>207</v>
      </c>
      <c r="F291" s="74" t="str">
        <f>IF(E291="","",VLOOKUP(E291,Causas!$A$2:$B$90,2,FALSE))</f>
        <v>Acciones asociadas a fumar</v>
      </c>
      <c r="G291" s="70" t="str">
        <f>IF(E291="","",VLOOKUP(E291,Causas!$A$2:$D$90,3,FALSE()))</f>
        <v>4.10</v>
      </c>
      <c r="H291" s="74" t="str">
        <f>IF(E291="","",VLOOKUP(E291,Causas!$A$2:$D$90,4,FALSE()))</f>
        <v>Otras causas</v>
      </c>
      <c r="I291" s="74" t="str">
        <f>IF(E291="","",VLOOKUP(E291,Causas!$A$2:$E$90,5,FALSE()))</f>
        <v>Negligentes</v>
      </c>
      <c r="J291" s="18">
        <v>274300</v>
      </c>
      <c r="K291" s="18">
        <v>6122659</v>
      </c>
      <c r="L291" s="18">
        <v>1</v>
      </c>
      <c r="M291" s="18" t="s">
        <v>682</v>
      </c>
      <c r="N291" s="19" t="s">
        <v>866</v>
      </c>
      <c r="O291" s="31" t="s">
        <v>253</v>
      </c>
      <c r="P291" s="53">
        <v>46071</v>
      </c>
      <c r="Q291" s="40">
        <f t="shared" si="4"/>
        <v>2</v>
      </c>
      <c r="R291" s="40"/>
    </row>
    <row r="292" spans="1:18" x14ac:dyDescent="0.2">
      <c r="A292" s="17">
        <v>291</v>
      </c>
      <c r="B292" s="62" t="s">
        <v>263</v>
      </c>
      <c r="C292" s="18">
        <v>541</v>
      </c>
      <c r="D292" s="62" t="s">
        <v>660</v>
      </c>
      <c r="E292" s="18" t="s">
        <v>160</v>
      </c>
      <c r="F292" s="74" t="str">
        <f>IF(E292="","",VLOOKUP(E292,Causas!$A$2:$B$90,2,FALSE))</f>
        <v>Rebrote de incendio anterior, declarado extinto</v>
      </c>
      <c r="G292" s="70" t="str">
        <f>IF(E292="","",VLOOKUP(E292,Causas!$A$2:$D$90,3,FALSE()))</f>
        <v>4.5</v>
      </c>
      <c r="H292" s="74" t="str">
        <f>IF(E292="","",VLOOKUP(E292,Causas!$A$2:$D$90,4,FALSE()))</f>
        <v>Actividades de control y extinción de incendios forestales</v>
      </c>
      <c r="I292" s="74" t="str">
        <f>IF(E292="","",VLOOKUP(E292,Causas!$A$2:$E$90,5,FALSE()))</f>
        <v>Negligentes</v>
      </c>
      <c r="J292" s="18">
        <v>274323</v>
      </c>
      <c r="K292" s="18">
        <v>6122544</v>
      </c>
      <c r="L292" s="18">
        <v>3</v>
      </c>
      <c r="M292" s="18" t="s">
        <v>682</v>
      </c>
      <c r="N292" s="19" t="s">
        <v>867</v>
      </c>
      <c r="O292" s="31" t="s">
        <v>253</v>
      </c>
      <c r="P292" s="53">
        <v>46073</v>
      </c>
      <c r="Q292" s="40">
        <f t="shared" si="4"/>
        <v>2</v>
      </c>
      <c r="R292" s="40"/>
    </row>
    <row r="293" spans="1:18" x14ac:dyDescent="0.2">
      <c r="A293" s="17">
        <v>292</v>
      </c>
      <c r="B293" s="62" t="s">
        <v>265</v>
      </c>
      <c r="C293" s="18">
        <v>618</v>
      </c>
      <c r="D293" s="62" t="s">
        <v>661</v>
      </c>
      <c r="E293" s="18" t="s">
        <v>134</v>
      </c>
      <c r="F293" s="74" t="str">
        <f>IF(E293="","",VLOOKUP(E293,Causas!$A$2:$B$90,2,FALSE))</f>
        <v>Quema no avisada de desechos agrícolas que se propaga libre y sin control</v>
      </c>
      <c r="G293" s="70" t="str">
        <f>IF(E293="","",VLOOKUP(E293,Causas!$A$2:$D$90,3,FALSE()))</f>
        <v>4.2</v>
      </c>
      <c r="H293" s="74" t="str">
        <f>IF(E293="","",VLOOKUP(E293,Causas!$A$2:$D$90,4,FALSE()))</f>
        <v>Faenas agrícolas y pecuarias</v>
      </c>
      <c r="I293" s="74" t="str">
        <f>IF(E293="","",VLOOKUP(E293,Causas!$A$2:$E$90,5,FALSE()))</f>
        <v>Negligentes</v>
      </c>
      <c r="J293" s="18">
        <v>277273</v>
      </c>
      <c r="K293" s="18">
        <v>6053720</v>
      </c>
      <c r="L293" s="18">
        <v>0.7</v>
      </c>
      <c r="M293" s="18" t="s">
        <v>682</v>
      </c>
      <c r="N293" s="19" t="s">
        <v>868</v>
      </c>
      <c r="O293" s="31" t="s">
        <v>248</v>
      </c>
      <c r="P293" s="53">
        <v>46095</v>
      </c>
      <c r="Q293" s="40">
        <f t="shared" si="4"/>
        <v>3</v>
      </c>
      <c r="R293" s="40"/>
    </row>
    <row r="294" spans="1:18" x14ac:dyDescent="0.2">
      <c r="A294" s="17">
        <v>293</v>
      </c>
      <c r="B294" s="62" t="s">
        <v>265</v>
      </c>
      <c r="C294" s="18">
        <v>275</v>
      </c>
      <c r="D294" s="62" t="s">
        <v>662</v>
      </c>
      <c r="E294" s="18" t="s">
        <v>189</v>
      </c>
      <c r="F294" s="74" t="str">
        <f>IF(E294="","",VLOOKUP(E294,Causas!$A$2:$B$90,2,FALSE))</f>
        <v>Combustión de la vegetación, producto del contacto o proximidad con el tendido eléctrico</v>
      </c>
      <c r="G294" s="70" t="str">
        <f>IF(E294="","",VLOOKUP(E294,Causas!$A$2:$D$90,3,FALSE()))</f>
        <v>4.9</v>
      </c>
      <c r="H294" s="74" t="str">
        <f>IF(E294="","",VLOOKUP(E294,Causas!$A$2:$D$90,4,FALSE()))</f>
        <v>Líneas eléctricas</v>
      </c>
      <c r="I294" s="74" t="str">
        <f>IF(E294="","",VLOOKUP(E294,Causas!$A$2:$E$90,5,FALSE()))</f>
        <v>Negligentes</v>
      </c>
      <c r="J294" s="18">
        <v>276521</v>
      </c>
      <c r="K294" s="18">
        <v>6052092</v>
      </c>
      <c r="L294" s="18">
        <v>0.2</v>
      </c>
      <c r="M294" s="18" t="s">
        <v>682</v>
      </c>
      <c r="N294" s="19" t="s">
        <v>869</v>
      </c>
      <c r="O294" s="31" t="s">
        <v>248</v>
      </c>
      <c r="P294" s="53">
        <v>46381</v>
      </c>
      <c r="Q294" s="40">
        <f t="shared" si="4"/>
        <v>12</v>
      </c>
      <c r="R294" s="40"/>
    </row>
    <row r="295" spans="1:18" x14ac:dyDescent="0.2">
      <c r="A295" s="17">
        <v>294</v>
      </c>
      <c r="B295" s="62" t="s">
        <v>248</v>
      </c>
      <c r="C295" s="18">
        <v>378</v>
      </c>
      <c r="D295" s="62" t="s">
        <v>663</v>
      </c>
      <c r="E295" s="18" t="s">
        <v>25</v>
      </c>
      <c r="F295" s="74" t="str">
        <f>IF(E295="","",VLOOKUP(E295,Causas!$A$2:$B$90,2,FALSE))</f>
        <v>Quema de basura residencial o desechos vegetales</v>
      </c>
      <c r="G295" s="70" t="str">
        <f>IF(E295="","",VLOOKUP(E295,Causas!$A$2:$D$90,3,FALSE()))</f>
        <v>4.8</v>
      </c>
      <c r="H295" s="74" t="str">
        <f>IF(E295="","",VLOOKUP(E295,Causas!$A$2:$D$90,4,FALSE()))</f>
        <v>Otras quemas</v>
      </c>
      <c r="I295" s="74" t="str">
        <f>IF(E295="","",VLOOKUP(E295,Causas!$A$2:$E$90,5,FALSE()))</f>
        <v>Negligentes</v>
      </c>
      <c r="J295" s="18">
        <v>273185</v>
      </c>
      <c r="K295" s="18">
        <v>6030692</v>
      </c>
      <c r="L295" s="18">
        <v>0.8</v>
      </c>
      <c r="M295" s="18" t="s">
        <v>682</v>
      </c>
      <c r="N295" s="19" t="s">
        <v>870</v>
      </c>
      <c r="O295" s="31" t="s">
        <v>248</v>
      </c>
      <c r="P295" s="53">
        <v>46037</v>
      </c>
      <c r="Q295" s="40">
        <f t="shared" si="4"/>
        <v>1</v>
      </c>
      <c r="R295" s="40"/>
    </row>
    <row r="296" spans="1:18" x14ac:dyDescent="0.2">
      <c r="A296" s="17">
        <v>295</v>
      </c>
      <c r="B296" s="62" t="s">
        <v>248</v>
      </c>
      <c r="C296" s="18">
        <v>367</v>
      </c>
      <c r="D296" s="62" t="s">
        <v>664</v>
      </c>
      <c r="E296" s="18" t="s">
        <v>165</v>
      </c>
      <c r="F296" s="74" t="str">
        <f>IF(E296="","",VLOOKUP(E296,Causas!$A$2:$B$90,2,FALSE))</f>
        <v>Generado por el uso de equipos o herramientas con fines de construcción, limpieza o montaje de estructuras</v>
      </c>
      <c r="G296" s="70" t="str">
        <f>IF(E296="","",VLOOKUP(E296,Causas!$A$2:$D$90,3,FALSE()))</f>
        <v>4.6</v>
      </c>
      <c r="H296" s="74" t="str">
        <f>IF(E296="","",VLOOKUP(E296,Causas!$A$2:$D$90,4,FALSE()))</f>
        <v>Parcelaciones, edificaciones residenciales, industriales u otras en zonas rurales o de interfaz</v>
      </c>
      <c r="I296" s="74" t="str">
        <f>IF(E296="","",VLOOKUP(E296,Causas!$A$2:$E$90,5,FALSE()))</f>
        <v>Negligentes</v>
      </c>
      <c r="J296" s="18">
        <v>278572</v>
      </c>
      <c r="K296" s="18">
        <v>6022681</v>
      </c>
      <c r="L296" s="18">
        <v>0.7</v>
      </c>
      <c r="M296" s="18" t="s">
        <v>682</v>
      </c>
      <c r="N296" s="19" t="s">
        <v>871</v>
      </c>
      <c r="O296" s="31" t="s">
        <v>248</v>
      </c>
      <c r="P296" s="53">
        <v>46035</v>
      </c>
      <c r="Q296" s="40">
        <f t="shared" si="4"/>
        <v>1</v>
      </c>
      <c r="R296" s="40"/>
    </row>
    <row r="297" spans="1:18" x14ac:dyDescent="0.2">
      <c r="A297" s="17">
        <v>296</v>
      </c>
      <c r="B297" s="62" t="s">
        <v>253</v>
      </c>
      <c r="C297" s="18">
        <v>226</v>
      </c>
      <c r="D297" s="62" t="s">
        <v>665</v>
      </c>
      <c r="E297" s="18" t="s">
        <v>25</v>
      </c>
      <c r="F297" s="74" t="str">
        <f>IF(E297="","",VLOOKUP(E297,Causas!$A$2:$B$90,2,FALSE))</f>
        <v>Quema de basura residencial o desechos vegetales</v>
      </c>
      <c r="G297" s="70" t="str">
        <f>IF(E297="","",VLOOKUP(E297,Causas!$A$2:$D$90,3,FALSE()))</f>
        <v>4.8</v>
      </c>
      <c r="H297" s="74" t="str">
        <f>IF(E297="","",VLOOKUP(E297,Causas!$A$2:$D$90,4,FALSE()))</f>
        <v>Otras quemas</v>
      </c>
      <c r="I297" s="74" t="str">
        <f>IF(E297="","",VLOOKUP(E297,Causas!$A$2:$E$90,5,FALSE()))</f>
        <v>Negligentes</v>
      </c>
      <c r="J297" s="18">
        <v>306130</v>
      </c>
      <c r="K297" s="18">
        <v>6115593</v>
      </c>
      <c r="L297" s="18">
        <v>0.1</v>
      </c>
      <c r="M297" s="18" t="s">
        <v>682</v>
      </c>
      <c r="N297" s="19" t="s">
        <v>872</v>
      </c>
      <c r="O297" s="31" t="s">
        <v>253</v>
      </c>
      <c r="P297" s="53">
        <v>46372</v>
      </c>
      <c r="Q297" s="40">
        <f t="shared" si="4"/>
        <v>12</v>
      </c>
      <c r="R297" s="40"/>
    </row>
    <row r="298" spans="1:18" x14ac:dyDescent="0.2">
      <c r="A298" s="17">
        <v>297</v>
      </c>
      <c r="B298" s="62" t="s">
        <v>253</v>
      </c>
      <c r="C298" s="18">
        <v>326</v>
      </c>
      <c r="D298" s="62" t="s">
        <v>666</v>
      </c>
      <c r="E298" s="18" t="s">
        <v>25</v>
      </c>
      <c r="F298" s="74" t="str">
        <f>IF(E298="","",VLOOKUP(E298,Causas!$A$2:$B$90,2,FALSE))</f>
        <v>Quema de basura residencial o desechos vegetales</v>
      </c>
      <c r="G298" s="70" t="str">
        <f>IF(E298="","",VLOOKUP(E298,Causas!$A$2:$D$90,3,FALSE()))</f>
        <v>4.8</v>
      </c>
      <c r="H298" s="74" t="str">
        <f>IF(E298="","",VLOOKUP(E298,Causas!$A$2:$D$90,4,FALSE()))</f>
        <v>Otras quemas</v>
      </c>
      <c r="I298" s="74" t="str">
        <f>IF(E298="","",VLOOKUP(E298,Causas!$A$2:$E$90,5,FALSE()))</f>
        <v>Negligentes</v>
      </c>
      <c r="J298" s="18">
        <v>306043</v>
      </c>
      <c r="K298" s="18">
        <v>6112722</v>
      </c>
      <c r="L298" s="18">
        <v>1.2</v>
      </c>
      <c r="M298" s="18" t="s">
        <v>682</v>
      </c>
      <c r="N298" s="19" t="s">
        <v>873</v>
      </c>
      <c r="O298" s="31" t="s">
        <v>253</v>
      </c>
      <c r="P298" s="53">
        <v>46028</v>
      </c>
      <c r="Q298" s="40">
        <f t="shared" si="4"/>
        <v>1</v>
      </c>
      <c r="R298" s="40"/>
    </row>
    <row r="299" spans="1:18" x14ac:dyDescent="0.2">
      <c r="A299" s="17">
        <v>298</v>
      </c>
      <c r="B299" s="62" t="s">
        <v>266</v>
      </c>
      <c r="C299" s="18">
        <v>559</v>
      </c>
      <c r="D299" s="62" t="s">
        <v>667</v>
      </c>
      <c r="E299" s="18" t="s">
        <v>65</v>
      </c>
      <c r="F299" s="74" t="str">
        <f>IF(E299="","",VLOOKUP(E299,Causas!$A$2:$B$90,2,FALSE))</f>
        <v>Incendio estructural</v>
      </c>
      <c r="G299" s="70" t="str">
        <f>IF(E299="","",VLOOKUP(E299,Causas!$A$2:$D$90,3,FALSE()))</f>
        <v>1.6</v>
      </c>
      <c r="H299" s="74" t="str">
        <f>IF(E299="","",VLOOKUP(E299,Causas!$A$2:$D$90,4,FALSE()))</f>
        <v>Parcelaciones, edificaciones residenciales, industriales u otras en zonas rurales o de interfaz</v>
      </c>
      <c r="I299" s="74" t="str">
        <f>IF(E299="","",VLOOKUP(E299,Causas!$A$2:$E$90,5,FALSE()))</f>
        <v>Accidentales</v>
      </c>
      <c r="J299" s="18">
        <v>768296</v>
      </c>
      <c r="K299" s="18">
        <v>6094680</v>
      </c>
      <c r="L299" s="18">
        <v>0.1</v>
      </c>
      <c r="M299" s="18" t="s">
        <v>682</v>
      </c>
      <c r="N299" s="19" t="s">
        <v>874</v>
      </c>
      <c r="O299" s="31" t="s">
        <v>242</v>
      </c>
      <c r="P299" s="53">
        <v>46076</v>
      </c>
      <c r="Q299" s="40">
        <f t="shared" si="4"/>
        <v>2</v>
      </c>
      <c r="R299" s="40"/>
    </row>
    <row r="300" spans="1:18" x14ac:dyDescent="0.2">
      <c r="A300" s="17">
        <v>299</v>
      </c>
      <c r="B300" s="62" t="s">
        <v>245</v>
      </c>
      <c r="C300" s="18">
        <v>663</v>
      </c>
      <c r="D300" s="62" t="s">
        <v>668</v>
      </c>
      <c r="E300" s="18" t="s">
        <v>183</v>
      </c>
      <c r="F300" s="74" t="str">
        <f>IF(E300="","",VLOOKUP(E300,Causas!$A$2:$B$90,2,FALSE))</f>
        <v>Quema de desechos industriales</v>
      </c>
      <c r="G300" s="70" t="str">
        <f>IF(E300="","",VLOOKUP(E300,Causas!$A$2:$D$90,3,FALSE()))</f>
        <v>4.8</v>
      </c>
      <c r="H300" s="74" t="str">
        <f>IF(E300="","",VLOOKUP(E300,Causas!$A$2:$D$90,4,FALSE()))</f>
        <v>Otras quemas</v>
      </c>
      <c r="I300" s="74" t="str">
        <f>IF(E300="","",VLOOKUP(E300,Causas!$A$2:$E$90,5,FALSE()))</f>
        <v>Negligentes</v>
      </c>
      <c r="J300" s="18">
        <v>250353</v>
      </c>
      <c r="K300" s="18">
        <v>6074294</v>
      </c>
      <c r="L300" s="18">
        <v>0.15</v>
      </c>
      <c r="M300" s="18" t="s">
        <v>682</v>
      </c>
      <c r="N300" s="19" t="s">
        <v>875</v>
      </c>
      <c r="O300" s="31" t="s">
        <v>242</v>
      </c>
      <c r="P300" s="53">
        <v>46128</v>
      </c>
      <c r="Q300" s="40">
        <f t="shared" si="4"/>
        <v>4</v>
      </c>
      <c r="R300" s="40"/>
    </row>
    <row r="301" spans="1:18" x14ac:dyDescent="0.2">
      <c r="A301" s="17">
        <v>300</v>
      </c>
      <c r="B301" s="62" t="s">
        <v>241</v>
      </c>
      <c r="C301" s="18">
        <v>135</v>
      </c>
      <c r="D301" s="62" t="s">
        <v>669</v>
      </c>
      <c r="E301" s="18" t="s">
        <v>223</v>
      </c>
      <c r="F301" s="74" t="str">
        <f>IF(E301="","",VLOOKUP(E301,Causas!$A$2:$B$90,2,FALSE))</f>
        <v>Otras actividades negligentes no clasificadas</v>
      </c>
      <c r="G301" s="70" t="str">
        <f>IF(E301="","",VLOOKUP(E301,Causas!$A$2:$D$90,3,FALSE()))</f>
        <v>4.10</v>
      </c>
      <c r="H301" s="74" t="str">
        <f>IF(E301="","",VLOOKUP(E301,Causas!$A$2:$D$90,4,FALSE()))</f>
        <v>Otras causas</v>
      </c>
      <c r="I301" s="74" t="str">
        <f>IF(E301="","",VLOOKUP(E301,Causas!$A$2:$E$90,5,FALSE()))</f>
        <v>Negligentes</v>
      </c>
      <c r="J301" s="18">
        <v>742794</v>
      </c>
      <c r="K301" s="18">
        <v>6016546</v>
      </c>
      <c r="L301" s="18">
        <v>0.15</v>
      </c>
      <c r="M301" s="18" t="s">
        <v>682</v>
      </c>
      <c r="N301" s="19" t="s">
        <v>876</v>
      </c>
      <c r="O301" s="31" t="s">
        <v>241</v>
      </c>
      <c r="P301" s="53">
        <v>45989</v>
      </c>
      <c r="Q301" s="40">
        <f t="shared" si="4"/>
        <v>11</v>
      </c>
      <c r="R301" s="40"/>
    </row>
    <row r="302" spans="1:18" x14ac:dyDescent="0.2">
      <c r="A302" s="17">
        <v>301</v>
      </c>
      <c r="B302" s="62" t="s">
        <v>241</v>
      </c>
      <c r="C302" s="18">
        <v>151</v>
      </c>
      <c r="D302" s="62" t="s">
        <v>670</v>
      </c>
      <c r="E302" s="18" t="s">
        <v>25</v>
      </c>
      <c r="F302" s="74" t="str">
        <f>IF(E302="","",VLOOKUP(E302,Causas!$A$2:$B$90,2,FALSE))</f>
        <v>Quema de basura residencial o desechos vegetales</v>
      </c>
      <c r="G302" s="70" t="str">
        <f>IF(E302="","",VLOOKUP(E302,Causas!$A$2:$D$90,3,FALSE()))</f>
        <v>4.8</v>
      </c>
      <c r="H302" s="74" t="str">
        <f>IF(E302="","",VLOOKUP(E302,Causas!$A$2:$D$90,4,FALSE()))</f>
        <v>Otras quemas</v>
      </c>
      <c r="I302" s="74" t="str">
        <f>IF(E302="","",VLOOKUP(E302,Causas!$A$2:$E$90,5,FALSE()))</f>
        <v>Negligentes</v>
      </c>
      <c r="J302" s="18">
        <v>741568</v>
      </c>
      <c r="K302" s="18">
        <v>6013486</v>
      </c>
      <c r="L302" s="18">
        <v>1.7</v>
      </c>
      <c r="M302" s="18" t="s">
        <v>682</v>
      </c>
      <c r="N302" s="19" t="s">
        <v>877</v>
      </c>
      <c r="O302" s="31" t="s">
        <v>241</v>
      </c>
      <c r="P302" s="53">
        <v>45992</v>
      </c>
      <c r="Q302" s="40">
        <f t="shared" si="4"/>
        <v>12</v>
      </c>
      <c r="R302" s="40"/>
    </row>
    <row r="303" spans="1:18" x14ac:dyDescent="0.2">
      <c r="A303" s="17">
        <v>302</v>
      </c>
      <c r="B303" s="62" t="s">
        <v>241</v>
      </c>
      <c r="C303" s="18">
        <v>473</v>
      </c>
      <c r="D303" s="62" t="s">
        <v>671</v>
      </c>
      <c r="E303" s="18" t="s">
        <v>101</v>
      </c>
      <c r="F303" s="74" t="str">
        <f>IF(E303="","",VLOOKUP(E303,Causas!$A$2:$B$90,2,FALSE))</f>
        <v>Obtención beneficios económicos (compra de madera, presión por trabajo, robo  maderero, otros)</v>
      </c>
      <c r="G303" s="70" t="str">
        <f>IF(E303="","",VLOOKUP(E303,Causas!$A$2:$D$90,3,FALSE()))</f>
        <v>2.1</v>
      </c>
      <c r="H303" s="74" t="str">
        <f>IF(E303="","",VLOOKUP(E303,Causas!$A$2:$D$90,4,FALSE()))</f>
        <v>Incendios intencionales</v>
      </c>
      <c r="I303" s="74" t="str">
        <f>IF(E303="","",VLOOKUP(E303,Causas!$A$2:$E$90,5,FALSE()))</f>
        <v>Intencionales</v>
      </c>
      <c r="J303" s="18">
        <v>736183</v>
      </c>
      <c r="K303" s="18">
        <v>6022601</v>
      </c>
      <c r="L303" s="18">
        <v>0.01</v>
      </c>
      <c r="M303" s="18" t="s">
        <v>682</v>
      </c>
      <c r="N303" s="19" t="s">
        <v>878</v>
      </c>
      <c r="O303" s="31" t="s">
        <v>241</v>
      </c>
      <c r="P303" s="53">
        <v>46058</v>
      </c>
      <c r="Q303" s="40">
        <f t="shared" si="4"/>
        <v>2</v>
      </c>
      <c r="R303" s="40"/>
    </row>
    <row r="304" spans="1:18" x14ac:dyDescent="0.2">
      <c r="A304" s="17">
        <v>303</v>
      </c>
      <c r="B304" s="62" t="s">
        <v>245</v>
      </c>
      <c r="C304" s="18">
        <v>186</v>
      </c>
      <c r="D304" s="62" t="s">
        <v>672</v>
      </c>
      <c r="E304" s="18" t="s">
        <v>223</v>
      </c>
      <c r="F304" s="74" t="str">
        <f>IF(E304="","",VLOOKUP(E304,Causas!$A$2:$B$90,2,FALSE))</f>
        <v>Otras actividades negligentes no clasificadas</v>
      </c>
      <c r="G304" s="70" t="str">
        <f>IF(E304="","",VLOOKUP(E304,Causas!$A$2:$D$90,3,FALSE()))</f>
        <v>4.10</v>
      </c>
      <c r="H304" s="74" t="str">
        <f>IF(E304="","",VLOOKUP(E304,Causas!$A$2:$D$90,4,FALSE()))</f>
        <v>Otras causas</v>
      </c>
      <c r="I304" s="74" t="str">
        <f>IF(E304="","",VLOOKUP(E304,Causas!$A$2:$E$90,5,FALSE()))</f>
        <v>Negligentes</v>
      </c>
      <c r="J304" s="18">
        <v>236615</v>
      </c>
      <c r="K304" s="18">
        <v>6071927</v>
      </c>
      <c r="L304" s="18">
        <v>0.5</v>
      </c>
      <c r="M304" s="18" t="s">
        <v>682</v>
      </c>
      <c r="N304" s="19" t="s">
        <v>879</v>
      </c>
      <c r="O304" s="31" t="s">
        <v>242</v>
      </c>
      <c r="P304" s="53">
        <v>45999</v>
      </c>
      <c r="Q304" s="40">
        <f t="shared" si="4"/>
        <v>12</v>
      </c>
      <c r="R304" s="40"/>
    </row>
    <row r="305" spans="1:18" x14ac:dyDescent="0.2">
      <c r="A305" s="17">
        <v>304</v>
      </c>
      <c r="B305" s="62" t="s">
        <v>245</v>
      </c>
      <c r="C305" s="18">
        <v>369</v>
      </c>
      <c r="D305" s="62" t="s">
        <v>544</v>
      </c>
      <c r="E305" s="18" t="s">
        <v>93</v>
      </c>
      <c r="F305" s="74" t="str">
        <f>IF(E305="","",VLOOKUP(E305,Causas!$A$2:$B$90,2,FALSE))</f>
        <v>Provocado, no se identifica la motivación</v>
      </c>
      <c r="G305" s="70" t="str">
        <f>IF(E305="","",VLOOKUP(E305,Causas!$A$2:$D$90,3,FALSE()))</f>
        <v>2.1</v>
      </c>
      <c r="H305" s="74" t="str">
        <f>IF(E305="","",VLOOKUP(E305,Causas!$A$2:$D$90,4,FALSE()))</f>
        <v>Incendios intencionales</v>
      </c>
      <c r="I305" s="74" t="str">
        <f>IF(E305="","",VLOOKUP(E305,Causas!$A$2:$E$90,5,FALSE()))</f>
        <v>Intencionales</v>
      </c>
      <c r="J305" s="18">
        <v>235317</v>
      </c>
      <c r="K305" s="18">
        <v>6072297</v>
      </c>
      <c r="L305" s="18">
        <v>8.1</v>
      </c>
      <c r="M305" s="18" t="s">
        <v>682</v>
      </c>
      <c r="N305" s="19" t="s">
        <v>880</v>
      </c>
      <c r="O305" s="31" t="s">
        <v>242</v>
      </c>
      <c r="P305" s="53">
        <v>46036</v>
      </c>
      <c r="Q305" s="40">
        <f t="shared" si="4"/>
        <v>1</v>
      </c>
      <c r="R305" s="40"/>
    </row>
    <row r="306" spans="1:18" x14ac:dyDescent="0.2">
      <c r="A306" s="17">
        <v>305</v>
      </c>
      <c r="B306" s="62" t="s">
        <v>245</v>
      </c>
      <c r="C306" s="18">
        <v>651</v>
      </c>
      <c r="D306" s="62" t="s">
        <v>673</v>
      </c>
      <c r="E306" s="18" t="s">
        <v>207</v>
      </c>
      <c r="F306" s="74" t="str">
        <f>IF(E306="","",VLOOKUP(E306,Causas!$A$2:$B$90,2,FALSE))</f>
        <v>Acciones asociadas a fumar</v>
      </c>
      <c r="G306" s="70" t="str">
        <f>IF(E306="","",VLOOKUP(E306,Causas!$A$2:$D$90,3,FALSE()))</f>
        <v>4.10</v>
      </c>
      <c r="H306" s="74" t="str">
        <f>IF(E306="","",VLOOKUP(E306,Causas!$A$2:$D$90,4,FALSE()))</f>
        <v>Otras causas</v>
      </c>
      <c r="I306" s="74" t="str">
        <f>IF(E306="","",VLOOKUP(E306,Causas!$A$2:$E$90,5,FALSE()))</f>
        <v>Negligentes</v>
      </c>
      <c r="J306" s="18">
        <v>253601</v>
      </c>
      <c r="K306" s="18">
        <v>6076773</v>
      </c>
      <c r="L306" s="18">
        <v>0.1</v>
      </c>
      <c r="M306" s="18" t="s">
        <v>682</v>
      </c>
      <c r="N306" s="19" t="s">
        <v>881</v>
      </c>
      <c r="O306" s="31" t="s">
        <v>242</v>
      </c>
      <c r="P306" s="53">
        <v>46116</v>
      </c>
      <c r="Q306" s="40">
        <f t="shared" si="4"/>
        <v>4</v>
      </c>
      <c r="R306" s="40"/>
    </row>
    <row r="307" spans="1:18" x14ac:dyDescent="0.2">
      <c r="A307" s="17">
        <v>306</v>
      </c>
      <c r="B307" s="62" t="s">
        <v>253</v>
      </c>
      <c r="C307" s="18">
        <v>492</v>
      </c>
      <c r="D307" s="62" t="s">
        <v>674</v>
      </c>
      <c r="E307" s="18" t="s">
        <v>221</v>
      </c>
      <c r="F307" s="74" t="str">
        <f>IF(E307="","",VLOOKUP(E307,Causas!$A$2:$B$90,2,FALSE))</f>
        <v>Empleo de fuentes de calor por personas en situación de calle</v>
      </c>
      <c r="G307" s="70" t="str">
        <f>IF(E307="","",VLOOKUP(E307,Causas!$A$2:$D$90,3,FALSE()))</f>
        <v>4.10</v>
      </c>
      <c r="H307" s="74" t="str">
        <f>IF(E307="","",VLOOKUP(E307,Causas!$A$2:$D$90,4,FALSE()))</f>
        <v>Otras causas</v>
      </c>
      <c r="I307" s="74" t="str">
        <f>IF(E307="","",VLOOKUP(E307,Causas!$A$2:$E$90,5,FALSE()))</f>
        <v>Negligentes</v>
      </c>
      <c r="J307" s="18">
        <v>293833</v>
      </c>
      <c r="K307" s="18">
        <v>6125908</v>
      </c>
      <c r="L307" s="18">
        <v>7</v>
      </c>
      <c r="M307" s="18" t="s">
        <v>682</v>
      </c>
      <c r="N307" s="19" t="s">
        <v>882</v>
      </c>
      <c r="O307" s="31" t="s">
        <v>253</v>
      </c>
      <c r="P307" s="53">
        <v>46062</v>
      </c>
      <c r="Q307" s="40">
        <f t="shared" si="4"/>
        <v>2</v>
      </c>
      <c r="R307" s="40"/>
    </row>
    <row r="308" spans="1:18" x14ac:dyDescent="0.2">
      <c r="A308" s="17">
        <v>307</v>
      </c>
      <c r="B308" s="62" t="s">
        <v>252</v>
      </c>
      <c r="C308" s="18">
        <v>483</v>
      </c>
      <c r="D308" s="62" t="s">
        <v>675</v>
      </c>
      <c r="E308" s="18" t="s">
        <v>134</v>
      </c>
      <c r="F308" s="74" t="str">
        <f>IF(E308="","",VLOOKUP(E308,Causas!$A$2:$B$90,2,FALSE))</f>
        <v>Quema no avisada de desechos agrícolas que se propaga libre y sin control</v>
      </c>
      <c r="G308" s="70" t="str">
        <f>IF(E308="","",VLOOKUP(E308,Causas!$A$2:$D$90,3,FALSE()))</f>
        <v>4.2</v>
      </c>
      <c r="H308" s="74" t="str">
        <f>IF(E308="","",VLOOKUP(E308,Causas!$A$2:$D$90,4,FALSE()))</f>
        <v>Faenas agrícolas y pecuarias</v>
      </c>
      <c r="I308" s="74" t="str">
        <f>IF(E308="","",VLOOKUP(E308,Causas!$A$2:$E$90,5,FALSE()))</f>
        <v>Negligentes</v>
      </c>
      <c r="J308" s="18">
        <v>293360</v>
      </c>
      <c r="K308" s="18">
        <v>6122359</v>
      </c>
      <c r="L308" s="18">
        <v>15</v>
      </c>
      <c r="M308" s="18" t="s">
        <v>682</v>
      </c>
      <c r="N308" s="19" t="s">
        <v>883</v>
      </c>
      <c r="O308" s="31" t="s">
        <v>253</v>
      </c>
      <c r="P308" s="53">
        <v>46061</v>
      </c>
      <c r="Q308" s="40">
        <f t="shared" si="4"/>
        <v>2</v>
      </c>
      <c r="R308" s="40"/>
    </row>
    <row r="309" spans="1:18" x14ac:dyDescent="0.2">
      <c r="A309" s="17">
        <v>308</v>
      </c>
      <c r="B309" s="62" t="s">
        <v>252</v>
      </c>
      <c r="C309" s="18">
        <v>502</v>
      </c>
      <c r="D309" s="62" t="s">
        <v>676</v>
      </c>
      <c r="E309" s="18" t="s">
        <v>14</v>
      </c>
      <c r="F309" s="74" t="str">
        <f>IF(E309="","",VLOOKUP(E309,Causas!$A$2:$B$90,2,FALSE))</f>
        <v>Quema no avisada con fines de limpieza en canales, cunetas, cercos o caminos (en predios particulares o públicos) que se propaga libre y sin control</v>
      </c>
      <c r="G309" s="70" t="str">
        <f>IF(E309="","",VLOOKUP(E309,Causas!$A$2:$D$90,3,FALSE()))</f>
        <v>4.8</v>
      </c>
      <c r="H309" s="74" t="str">
        <f>IF(E309="","",VLOOKUP(E309,Causas!$A$2:$D$90,4,FALSE()))</f>
        <v>Otras quemas</v>
      </c>
      <c r="I309" s="74" t="str">
        <f>IF(E309="","",VLOOKUP(E309,Causas!$A$2:$E$90,5,FALSE()))</f>
        <v>Negligentes</v>
      </c>
      <c r="J309" s="18">
        <v>293613</v>
      </c>
      <c r="K309" s="18">
        <v>6122560</v>
      </c>
      <c r="L309" s="18">
        <v>1.7</v>
      </c>
      <c r="M309" s="18" t="s">
        <v>682</v>
      </c>
      <c r="N309" s="19" t="s">
        <v>884</v>
      </c>
      <c r="O309" s="31" t="s">
        <v>253</v>
      </c>
      <c r="P309" s="53">
        <v>46064</v>
      </c>
      <c r="Q309" s="40">
        <f t="shared" si="4"/>
        <v>2</v>
      </c>
      <c r="R309" s="40"/>
    </row>
    <row r="310" spans="1:18" x14ac:dyDescent="0.2">
      <c r="A310" s="17">
        <v>309</v>
      </c>
      <c r="B310" s="62" t="s">
        <v>271</v>
      </c>
      <c r="C310" s="18">
        <v>388</v>
      </c>
      <c r="D310" s="62" t="s">
        <v>677</v>
      </c>
      <c r="E310" s="18" t="s">
        <v>223</v>
      </c>
      <c r="F310" s="74" t="str">
        <f>IF(E310="","",VLOOKUP(E310,Causas!$A$2:$B$90,2,FALSE))</f>
        <v>Otras actividades negligentes no clasificadas</v>
      </c>
      <c r="G310" s="70" t="str">
        <f>IF(E310="","",VLOOKUP(E310,Causas!$A$2:$D$90,3,FALSE()))</f>
        <v>4.10</v>
      </c>
      <c r="H310" s="74" t="str">
        <f>IF(E310="","",VLOOKUP(E310,Causas!$A$2:$D$90,4,FALSE()))</f>
        <v>Otras causas</v>
      </c>
      <c r="I310" s="74" t="str">
        <f>IF(E310="","",VLOOKUP(E310,Causas!$A$2:$E$90,5,FALSE()))</f>
        <v>Negligentes</v>
      </c>
      <c r="J310" s="18">
        <v>245813</v>
      </c>
      <c r="K310" s="18">
        <v>5998321</v>
      </c>
      <c r="L310" s="18">
        <v>3.9</v>
      </c>
      <c r="M310" s="18" t="s">
        <v>682</v>
      </c>
      <c r="N310" s="19" t="s">
        <v>885</v>
      </c>
      <c r="O310" s="31" t="s">
        <v>248</v>
      </c>
      <c r="P310" s="53">
        <v>46038</v>
      </c>
      <c r="Q310" s="40">
        <f t="shared" si="4"/>
        <v>1</v>
      </c>
      <c r="R310" s="40"/>
    </row>
    <row r="311" spans="1:18" x14ac:dyDescent="0.2">
      <c r="A311" s="17">
        <v>310</v>
      </c>
      <c r="B311" s="62" t="s">
        <v>271</v>
      </c>
      <c r="C311" s="18">
        <v>247</v>
      </c>
      <c r="D311" s="62" t="s">
        <v>678</v>
      </c>
      <c r="E311" s="18" t="s">
        <v>223</v>
      </c>
      <c r="F311" s="74" t="str">
        <f>IF(E311="","",VLOOKUP(E311,Causas!$A$2:$B$90,2,FALSE))</f>
        <v>Otras actividades negligentes no clasificadas</v>
      </c>
      <c r="G311" s="70" t="str">
        <f>IF(E311="","",VLOOKUP(E311,Causas!$A$2:$D$90,3,FALSE()))</f>
        <v>4.10</v>
      </c>
      <c r="H311" s="74" t="str">
        <f>IF(E311="","",VLOOKUP(E311,Causas!$A$2:$D$90,4,FALSE()))</f>
        <v>Otras causas</v>
      </c>
      <c r="I311" s="74" t="str">
        <f>IF(E311="","",VLOOKUP(E311,Causas!$A$2:$E$90,5,FALSE()))</f>
        <v>Negligentes</v>
      </c>
      <c r="J311" s="18">
        <v>245582</v>
      </c>
      <c r="K311" s="18">
        <v>5998395</v>
      </c>
      <c r="L311" s="18">
        <v>0.8</v>
      </c>
      <c r="M311" s="18" t="s">
        <v>682</v>
      </c>
      <c r="N311" s="19" t="s">
        <v>886</v>
      </c>
      <c r="O311" s="31" t="s">
        <v>248</v>
      </c>
      <c r="P311" s="53">
        <v>46010</v>
      </c>
      <c r="Q311" s="40">
        <f t="shared" si="4"/>
        <v>12</v>
      </c>
      <c r="R311" s="40"/>
    </row>
    <row r="312" spans="1:18" x14ac:dyDescent="0.2">
      <c r="A312" s="17">
        <v>311</v>
      </c>
      <c r="B312" s="62" t="s">
        <v>242</v>
      </c>
      <c r="C312" s="18">
        <v>392</v>
      </c>
      <c r="D312" s="62" t="s">
        <v>887</v>
      </c>
      <c r="E312" s="18" t="s">
        <v>221</v>
      </c>
      <c r="F312" s="74" t="str">
        <f>IF(E312="","",VLOOKUP(E312,Causas!$A$2:$B$90,2,FALSE))</f>
        <v>Empleo de fuentes de calor por personas en situación de calle</v>
      </c>
      <c r="G312" s="70" t="str">
        <f>IF(E312="","",VLOOKUP(E312,Causas!$A$2:$D$90,3,FALSE()))</f>
        <v>4.10</v>
      </c>
      <c r="H312" s="74" t="str">
        <f>IF(E312="","",VLOOKUP(E312,Causas!$A$2:$D$90,4,FALSE()))</f>
        <v>Otras causas</v>
      </c>
      <c r="I312" s="74" t="str">
        <f>IF(E312="","",VLOOKUP(E312,Causas!$A$2:$E$90,5,FALSE()))</f>
        <v>Negligentes</v>
      </c>
      <c r="J312" s="18">
        <v>257063</v>
      </c>
      <c r="K312" s="18">
        <v>6076512</v>
      </c>
      <c r="L312" s="18">
        <v>0.2</v>
      </c>
      <c r="M312" s="18" t="s">
        <v>682</v>
      </c>
      <c r="N312" s="19" t="s">
        <v>928</v>
      </c>
      <c r="O312" s="31" t="s">
        <v>242</v>
      </c>
      <c r="P312" s="53">
        <v>46039</v>
      </c>
      <c r="Q312" s="40">
        <f t="shared" si="4"/>
        <v>1</v>
      </c>
      <c r="R312" s="40"/>
    </row>
    <row r="313" spans="1:18" x14ac:dyDescent="0.2">
      <c r="A313" s="17">
        <v>312</v>
      </c>
      <c r="B313" s="62" t="s">
        <v>242</v>
      </c>
      <c r="C313" s="18">
        <v>321</v>
      </c>
      <c r="D313" s="62" t="s">
        <v>888</v>
      </c>
      <c r="E313" s="18" t="s">
        <v>150</v>
      </c>
      <c r="F313" s="74" t="str">
        <f>IF(E313="","",VLOOKUP(E313,Causas!$A$2:$B$90,2,FALSE))</f>
        <v>Empleo de fuentes de calor en áreas no habilitadas, como fogatas para cocinar, cocinillas, calefacción, elementos para iluminar u otros.</v>
      </c>
      <c r="G313" s="70" t="str">
        <f>IF(E313="","",VLOOKUP(E313,Causas!$A$2:$D$90,3,FALSE()))</f>
        <v>4.3</v>
      </c>
      <c r="H313" s="74" t="str">
        <f>IF(E313="","",VLOOKUP(E313,Causas!$A$2:$D$90,4,FALSE()))</f>
        <v>Actividades al aire libre (camping, excursiones, caza, pesca, otros)</v>
      </c>
      <c r="I313" s="74" t="str">
        <f>IF(E313="","",VLOOKUP(E313,Causas!$A$2:$E$90,5,FALSE()))</f>
        <v>Negligentes</v>
      </c>
      <c r="J313" s="18">
        <v>259805</v>
      </c>
      <c r="K313" s="18">
        <v>6081156</v>
      </c>
      <c r="L313" s="18">
        <v>1.5</v>
      </c>
      <c r="M313" s="18" t="s">
        <v>682</v>
      </c>
      <c r="N313" s="19" t="s">
        <v>929</v>
      </c>
      <c r="O313" s="31" t="s">
        <v>242</v>
      </c>
      <c r="P313" s="53">
        <v>46025</v>
      </c>
      <c r="Q313" s="40">
        <f t="shared" si="4"/>
        <v>1</v>
      </c>
      <c r="R313" s="40"/>
    </row>
    <row r="314" spans="1:18" x14ac:dyDescent="0.2">
      <c r="A314" s="17">
        <v>313</v>
      </c>
      <c r="B314" s="62" t="s">
        <v>258</v>
      </c>
      <c r="C314" s="18">
        <v>343</v>
      </c>
      <c r="D314" s="62" t="s">
        <v>889</v>
      </c>
      <c r="E314" s="18" t="s">
        <v>198</v>
      </c>
      <c r="F314" s="74" t="str">
        <f>IF(E314="","",VLOOKUP(E314,Causas!$A$2:$B$90,2,FALSE))</f>
        <v>Otras causas eléctricas negligentes no  clasificadas</v>
      </c>
      <c r="G314" s="70" t="str">
        <f>IF(E314="","",VLOOKUP(E314,Causas!$A$2:$D$90,3,FALSE()))</f>
        <v>4.9</v>
      </c>
      <c r="H314" s="74" t="str">
        <f>IF(E314="","",VLOOKUP(E314,Causas!$A$2:$D$90,4,FALSE()))</f>
        <v>Líneas eléctricas</v>
      </c>
      <c r="I314" s="74" t="str">
        <f>IF(E314="","",VLOOKUP(E314,Causas!$A$2:$E$90,5,FALSE()))</f>
        <v>Negligentes</v>
      </c>
      <c r="J314" s="18">
        <v>249931</v>
      </c>
      <c r="K314" s="18">
        <v>5998970</v>
      </c>
      <c r="L314" s="18">
        <v>1.9</v>
      </c>
      <c r="M314" s="18" t="s">
        <v>682</v>
      </c>
      <c r="N314" s="19" t="s">
        <v>930</v>
      </c>
      <c r="O314" s="31" t="s">
        <v>248</v>
      </c>
      <c r="P314" s="53">
        <v>46032</v>
      </c>
      <c r="Q314" s="40">
        <f t="shared" si="4"/>
        <v>1</v>
      </c>
      <c r="R314" s="40"/>
    </row>
    <row r="315" spans="1:18" x14ac:dyDescent="0.2">
      <c r="A315" s="17">
        <v>314</v>
      </c>
      <c r="B315" s="62" t="s">
        <v>258</v>
      </c>
      <c r="C315" s="18">
        <v>642</v>
      </c>
      <c r="D315" s="62" t="s">
        <v>890</v>
      </c>
      <c r="E315" s="18" t="s">
        <v>25</v>
      </c>
      <c r="F315" s="74" t="str">
        <f>IF(E315="","",VLOOKUP(E315,Causas!$A$2:$B$90,2,FALSE))</f>
        <v>Quema de basura residencial o desechos vegetales</v>
      </c>
      <c r="G315" s="70" t="str">
        <f>IF(E315="","",VLOOKUP(E315,Causas!$A$2:$D$90,3,FALSE()))</f>
        <v>4.8</v>
      </c>
      <c r="H315" s="74" t="str">
        <f>IF(E315="","",VLOOKUP(E315,Causas!$A$2:$D$90,4,FALSE()))</f>
        <v>Otras quemas</v>
      </c>
      <c r="I315" s="74" t="str">
        <f>IF(E315="","",VLOOKUP(E315,Causas!$A$2:$E$90,5,FALSE()))</f>
        <v>Negligentes</v>
      </c>
      <c r="J315" s="18">
        <v>253391</v>
      </c>
      <c r="K315" s="18">
        <v>5997773</v>
      </c>
      <c r="L315" s="18">
        <v>1.8</v>
      </c>
      <c r="M315" s="18" t="s">
        <v>682</v>
      </c>
      <c r="N315" s="19" t="s">
        <v>931</v>
      </c>
      <c r="O315" s="31" t="s">
        <v>248</v>
      </c>
      <c r="P315" s="53">
        <v>46110</v>
      </c>
      <c r="Q315" s="40">
        <f t="shared" si="4"/>
        <v>3</v>
      </c>
      <c r="R315" s="40"/>
    </row>
    <row r="316" spans="1:18" x14ac:dyDescent="0.2">
      <c r="A316" s="17">
        <v>315</v>
      </c>
      <c r="B316" s="62" t="s">
        <v>271</v>
      </c>
      <c r="C316" s="18">
        <v>202</v>
      </c>
      <c r="D316" s="62" t="s">
        <v>891</v>
      </c>
      <c r="E316" s="18" t="s">
        <v>25</v>
      </c>
      <c r="F316" s="74" t="str">
        <f>IF(E316="","",VLOOKUP(E316,Causas!$A$2:$B$90,2,FALSE))</f>
        <v>Quema de basura residencial o desechos vegetales</v>
      </c>
      <c r="G316" s="70" t="str">
        <f>IF(E316="","",VLOOKUP(E316,Causas!$A$2:$D$90,3,FALSE()))</f>
        <v>4.8</v>
      </c>
      <c r="H316" s="74" t="str">
        <f>IF(E316="","",VLOOKUP(E316,Causas!$A$2:$D$90,4,FALSE()))</f>
        <v>Otras quemas</v>
      </c>
      <c r="I316" s="74" t="str">
        <f>IF(E316="","",VLOOKUP(E316,Causas!$A$2:$E$90,5,FALSE()))</f>
        <v>Negligentes</v>
      </c>
      <c r="J316" s="18">
        <v>240299</v>
      </c>
      <c r="K316" s="18">
        <v>5997253</v>
      </c>
      <c r="L316" s="18">
        <v>2.6</v>
      </c>
      <c r="M316" s="18" t="s">
        <v>682</v>
      </c>
      <c r="N316" s="19" t="s">
        <v>932</v>
      </c>
      <c r="O316" s="31" t="s">
        <v>248</v>
      </c>
      <c r="P316" s="53">
        <v>46002</v>
      </c>
      <c r="Q316" s="40">
        <f t="shared" si="4"/>
        <v>12</v>
      </c>
      <c r="R316" s="40"/>
    </row>
    <row r="317" spans="1:18" x14ac:dyDescent="0.2">
      <c r="A317" s="17">
        <v>316</v>
      </c>
      <c r="B317" s="62" t="s">
        <v>245</v>
      </c>
      <c r="C317" s="18">
        <v>211</v>
      </c>
      <c r="D317" s="62" t="s">
        <v>892</v>
      </c>
      <c r="E317" s="18" t="s">
        <v>20</v>
      </c>
      <c r="F317" s="74" t="str">
        <f>IF(E317="","",VLOOKUP(E317,Causas!$A$2:$B$90,2,FALSE))</f>
        <v>Empleo de fuentes de calor en faena de extracción y/o confección de leña no industrial</v>
      </c>
      <c r="G317" s="70" t="str">
        <f>IF(E317="","",VLOOKUP(E317,Causas!$A$2:$D$90,3,FALSE()))</f>
        <v>4.11</v>
      </c>
      <c r="H317" s="74" t="str">
        <f>IF(E317="","",VLOOKUP(E317,Causas!$A$2:$D$90,4,FALSE()))</f>
        <v>Producción y/o extracción de productos y/o derivados del bosque</v>
      </c>
      <c r="I317" s="74" t="str">
        <f>IF(E317="","",VLOOKUP(E317,Causas!$A$2:$E$90,5,FALSE()))</f>
        <v>Negligentes</v>
      </c>
      <c r="J317" s="18">
        <v>765928</v>
      </c>
      <c r="K317" s="18">
        <v>6077570</v>
      </c>
      <c r="L317" s="18">
        <v>0.7</v>
      </c>
      <c r="M317" s="18" t="s">
        <v>682</v>
      </c>
      <c r="N317" s="19" t="s">
        <v>933</v>
      </c>
      <c r="O317" s="31" t="s">
        <v>242</v>
      </c>
      <c r="P317" s="53">
        <v>46005</v>
      </c>
      <c r="Q317" s="40">
        <f t="shared" si="4"/>
        <v>12</v>
      </c>
      <c r="R317" s="40"/>
    </row>
    <row r="318" spans="1:18" x14ac:dyDescent="0.2">
      <c r="A318" s="17">
        <v>317</v>
      </c>
      <c r="B318" s="62" t="s">
        <v>245</v>
      </c>
      <c r="C318" s="18">
        <v>271</v>
      </c>
      <c r="D318" s="62" t="s">
        <v>893</v>
      </c>
      <c r="E318" s="18" t="s">
        <v>192</v>
      </c>
      <c r="F318" s="74" t="str">
        <f>IF(E318="","",VLOOKUP(E318,Causas!$A$2:$B$90,2,FALSE))</f>
        <v>Corte de conductor eléctrico por caída de rama o árbol (excepto por faena forestal o agrícola)</v>
      </c>
      <c r="G318" s="70" t="str">
        <f>IF(E318="","",VLOOKUP(E318,Causas!$A$2:$D$90,3,FALSE()))</f>
        <v>4.9</v>
      </c>
      <c r="H318" s="74" t="str">
        <f>IF(E318="","",VLOOKUP(E318,Causas!$A$2:$D$90,4,FALSE()))</f>
        <v>Líneas eléctricas</v>
      </c>
      <c r="I318" s="74" t="str">
        <f>IF(E318="","",VLOOKUP(E318,Causas!$A$2:$E$90,5,FALSE()))</f>
        <v>Negligentes</v>
      </c>
      <c r="J318" s="18">
        <v>242521</v>
      </c>
      <c r="K318" s="18">
        <v>6084342</v>
      </c>
      <c r="L318" s="18">
        <v>0.3</v>
      </c>
      <c r="M318" s="18" t="s">
        <v>682</v>
      </c>
      <c r="N318" s="19" t="s">
        <v>934</v>
      </c>
      <c r="O318" s="31" t="s">
        <v>242</v>
      </c>
      <c r="P318" s="53">
        <v>46381</v>
      </c>
      <c r="Q318" s="40">
        <f t="shared" si="4"/>
        <v>12</v>
      </c>
      <c r="R318" s="40"/>
    </row>
    <row r="319" spans="1:18" x14ac:dyDescent="0.2">
      <c r="A319" s="17">
        <v>318</v>
      </c>
      <c r="B319" s="62" t="s">
        <v>246</v>
      </c>
      <c r="C319" s="18">
        <v>513</v>
      </c>
      <c r="D319" s="62" t="s">
        <v>894</v>
      </c>
      <c r="E319" s="18" t="s">
        <v>25</v>
      </c>
      <c r="F319" s="74" t="str">
        <f>IF(E319="","",VLOOKUP(E319,Causas!$A$2:$B$90,2,FALSE))</f>
        <v>Quema de basura residencial o desechos vegetales</v>
      </c>
      <c r="G319" s="70" t="str">
        <f>IF(E319="","",VLOOKUP(E319,Causas!$A$2:$D$90,3,FALSE()))</f>
        <v>4.8</v>
      </c>
      <c r="H319" s="74" t="str">
        <f>IF(E319="","",VLOOKUP(E319,Causas!$A$2:$D$90,4,FALSE()))</f>
        <v>Otras quemas</v>
      </c>
      <c r="I319" s="74" t="str">
        <f>IF(E319="","",VLOOKUP(E319,Causas!$A$2:$E$90,5,FALSE()))</f>
        <v>Negligentes</v>
      </c>
      <c r="J319" s="18">
        <v>282458</v>
      </c>
      <c r="K319" s="18">
        <v>6104493</v>
      </c>
      <c r="L319" s="18">
        <v>3.8</v>
      </c>
      <c r="M319" s="18" t="s">
        <v>682</v>
      </c>
      <c r="N319" s="19" t="s">
        <v>935</v>
      </c>
      <c r="O319" s="31" t="s">
        <v>253</v>
      </c>
      <c r="P319" s="53">
        <v>46066</v>
      </c>
      <c r="Q319" s="40">
        <f t="shared" si="4"/>
        <v>2</v>
      </c>
      <c r="R319" s="40"/>
    </row>
    <row r="320" spans="1:18" x14ac:dyDescent="0.2">
      <c r="A320" s="17">
        <v>319</v>
      </c>
      <c r="B320" s="62" t="s">
        <v>256</v>
      </c>
      <c r="C320" s="18">
        <v>358</v>
      </c>
      <c r="D320" s="62" t="s">
        <v>895</v>
      </c>
      <c r="E320" s="18" t="s">
        <v>93</v>
      </c>
      <c r="F320" s="74" t="str">
        <f>IF(E320="","",VLOOKUP(E320,Causas!$A$2:$B$90,2,FALSE))</f>
        <v>Provocado, no se identifica la motivación</v>
      </c>
      <c r="G320" s="70" t="str">
        <f>IF(E320="","",VLOOKUP(E320,Causas!$A$2:$D$90,3,FALSE()))</f>
        <v>2.1</v>
      </c>
      <c r="H320" s="74" t="str">
        <f>IF(E320="","",VLOOKUP(E320,Causas!$A$2:$D$90,4,FALSE()))</f>
        <v>Incendios intencionales</v>
      </c>
      <c r="I320" s="74" t="str">
        <f>IF(E320="","",VLOOKUP(E320,Causas!$A$2:$E$90,5,FALSE()))</f>
        <v>Intencionales</v>
      </c>
      <c r="J320" s="18">
        <v>284542</v>
      </c>
      <c r="K320" s="18">
        <v>6107860</v>
      </c>
      <c r="L320" s="18">
        <v>2.5</v>
      </c>
      <c r="M320" s="18" t="s">
        <v>682</v>
      </c>
      <c r="N320" s="19" t="s">
        <v>936</v>
      </c>
      <c r="O320" s="31" t="s">
        <v>253</v>
      </c>
      <c r="P320" s="53">
        <v>46035</v>
      </c>
      <c r="Q320" s="40">
        <f t="shared" si="4"/>
        <v>1</v>
      </c>
      <c r="R320" s="40"/>
    </row>
    <row r="321" spans="1:18" x14ac:dyDescent="0.2">
      <c r="A321" s="17">
        <v>320</v>
      </c>
      <c r="B321" s="62" t="s">
        <v>256</v>
      </c>
      <c r="C321" s="18">
        <v>423</v>
      </c>
      <c r="D321" s="62" t="s">
        <v>896</v>
      </c>
      <c r="E321" s="18" t="s">
        <v>93</v>
      </c>
      <c r="F321" s="74" t="str">
        <f>IF(E321="","",VLOOKUP(E321,Causas!$A$2:$B$90,2,FALSE))</f>
        <v>Provocado, no se identifica la motivación</v>
      </c>
      <c r="G321" s="70" t="str">
        <f>IF(E321="","",VLOOKUP(E321,Causas!$A$2:$D$90,3,FALSE()))</f>
        <v>2.1</v>
      </c>
      <c r="H321" s="74" t="str">
        <f>IF(E321="","",VLOOKUP(E321,Causas!$A$2:$D$90,4,FALSE()))</f>
        <v>Incendios intencionales</v>
      </c>
      <c r="I321" s="74" t="str">
        <f>IF(E321="","",VLOOKUP(E321,Causas!$A$2:$E$90,5,FALSE()))</f>
        <v>Intencionales</v>
      </c>
      <c r="J321" s="18">
        <v>284334</v>
      </c>
      <c r="K321" s="18">
        <v>6107738</v>
      </c>
      <c r="L321" s="18">
        <v>1.8</v>
      </c>
      <c r="M321" s="18" t="s">
        <v>682</v>
      </c>
      <c r="N321" s="19" t="s">
        <v>937</v>
      </c>
      <c r="O321" s="31" t="s">
        <v>253</v>
      </c>
      <c r="P321" s="53">
        <v>46046</v>
      </c>
      <c r="Q321" s="40">
        <f t="shared" si="4"/>
        <v>1</v>
      </c>
      <c r="R321" s="40"/>
    </row>
    <row r="322" spans="1:18" x14ac:dyDescent="0.2">
      <c r="A322" s="17">
        <v>321</v>
      </c>
      <c r="B322" s="62" t="s">
        <v>258</v>
      </c>
      <c r="C322" s="18">
        <v>59</v>
      </c>
      <c r="D322" s="62" t="s">
        <v>897</v>
      </c>
      <c r="E322" s="18" t="s">
        <v>148</v>
      </c>
      <c r="F322" s="74" t="str">
        <f>IF(E322="","",VLOOKUP(E322,Causas!$A$2:$B$90,2,FALSE))</f>
        <v>Otras causas negligentes no clasificadas en faenas agrícolas y pecuarias</v>
      </c>
      <c r="G322" s="70" t="str">
        <f>IF(E322="","",VLOOKUP(E322,Causas!$A$2:$D$90,3,FALSE()))</f>
        <v>4.2</v>
      </c>
      <c r="H322" s="74" t="str">
        <f>IF(E322="","",VLOOKUP(E322,Causas!$A$2:$D$90,4,FALSE()))</f>
        <v>Faenas agrícolas y pecuarias</v>
      </c>
      <c r="I322" s="74" t="str">
        <f>IF(E322="","",VLOOKUP(E322,Causas!$A$2:$E$90,5,FALSE()))</f>
        <v>Negligentes</v>
      </c>
      <c r="J322" s="18">
        <v>254996</v>
      </c>
      <c r="K322" s="18">
        <v>5999690</v>
      </c>
      <c r="L322" s="18">
        <v>0.4</v>
      </c>
      <c r="M322" s="18" t="s">
        <v>682</v>
      </c>
      <c r="N322" s="19" t="s">
        <v>938</v>
      </c>
      <c r="O322" s="31" t="s">
        <v>248</v>
      </c>
      <c r="P322" s="53">
        <v>45963</v>
      </c>
      <c r="Q322" s="40">
        <f t="shared" si="4"/>
        <v>11</v>
      </c>
      <c r="R322" s="40"/>
    </row>
    <row r="323" spans="1:18" x14ac:dyDescent="0.2">
      <c r="A323" s="17">
        <v>322</v>
      </c>
      <c r="B323" s="62" t="s">
        <v>271</v>
      </c>
      <c r="C323" s="18">
        <v>445</v>
      </c>
      <c r="D323" s="62" t="s">
        <v>898</v>
      </c>
      <c r="E323" s="18" t="s">
        <v>207</v>
      </c>
      <c r="F323" s="74" t="str">
        <f>IF(E323="","",VLOOKUP(E323,Causas!$A$2:$B$90,2,FALSE))</f>
        <v>Acciones asociadas a fumar</v>
      </c>
      <c r="G323" s="70" t="str">
        <f>IF(E323="","",VLOOKUP(E323,Causas!$A$2:$D$90,3,FALSE()))</f>
        <v>4.10</v>
      </c>
      <c r="H323" s="74" t="str">
        <f>IF(E323="","",VLOOKUP(E323,Causas!$A$2:$D$90,4,FALSE()))</f>
        <v>Otras causas</v>
      </c>
      <c r="I323" s="74" t="str">
        <f>IF(E323="","",VLOOKUP(E323,Causas!$A$2:$E$90,5,FALSE()))</f>
        <v>Negligentes</v>
      </c>
      <c r="J323" s="18">
        <v>238606</v>
      </c>
      <c r="K323" s="18">
        <v>5987987</v>
      </c>
      <c r="L323" s="18">
        <v>1.5</v>
      </c>
      <c r="M323" s="18" t="s">
        <v>682</v>
      </c>
      <c r="N323" s="19" t="s">
        <v>939</v>
      </c>
      <c r="O323" s="31" t="s">
        <v>248</v>
      </c>
      <c r="P323" s="53">
        <v>46051</v>
      </c>
      <c r="Q323" s="40">
        <f t="shared" ref="Q323:Q386" si="5">MONTH(P323)</f>
        <v>1</v>
      </c>
      <c r="R323" s="40"/>
    </row>
    <row r="324" spans="1:18" x14ac:dyDescent="0.2">
      <c r="A324" s="17">
        <v>323</v>
      </c>
      <c r="B324" s="62" t="s">
        <v>253</v>
      </c>
      <c r="C324" s="18">
        <v>210</v>
      </c>
      <c r="D324" s="62" t="s">
        <v>899</v>
      </c>
      <c r="E324" s="18" t="s">
        <v>221</v>
      </c>
      <c r="F324" s="74" t="str">
        <f>IF(E324="","",VLOOKUP(E324,Causas!$A$2:$B$90,2,FALSE))</f>
        <v>Empleo de fuentes de calor por personas en situación de calle</v>
      </c>
      <c r="G324" s="70" t="str">
        <f>IF(E324="","",VLOOKUP(E324,Causas!$A$2:$D$90,3,FALSE()))</f>
        <v>4.10</v>
      </c>
      <c r="H324" s="74" t="str">
        <f>IF(E324="","",VLOOKUP(E324,Causas!$A$2:$D$90,4,FALSE()))</f>
        <v>Otras causas</v>
      </c>
      <c r="I324" s="74" t="str">
        <f>IF(E324="","",VLOOKUP(E324,Causas!$A$2:$E$90,5,FALSE()))</f>
        <v>Negligentes</v>
      </c>
      <c r="J324" s="18">
        <v>293349</v>
      </c>
      <c r="K324" s="18">
        <v>6125310</v>
      </c>
      <c r="L324" s="18">
        <v>5</v>
      </c>
      <c r="M324" s="18" t="s">
        <v>682</v>
      </c>
      <c r="N324" s="19" t="s">
        <v>940</v>
      </c>
      <c r="O324" s="31" t="s">
        <v>253</v>
      </c>
      <c r="P324" s="53">
        <v>46005</v>
      </c>
      <c r="Q324" s="40">
        <f t="shared" si="5"/>
        <v>12</v>
      </c>
      <c r="R324" s="40"/>
    </row>
    <row r="325" spans="1:18" x14ac:dyDescent="0.2">
      <c r="A325" s="17">
        <v>324</v>
      </c>
      <c r="B325" s="62" t="s">
        <v>253</v>
      </c>
      <c r="C325" s="18">
        <v>419</v>
      </c>
      <c r="D325" s="62" t="s">
        <v>900</v>
      </c>
      <c r="E325" s="18" t="s">
        <v>209</v>
      </c>
      <c r="F325" s="74" t="str">
        <f>IF(E325="","",VLOOKUP(E325,Causas!$A$2:$B$90,2,FALSE))</f>
        <v>Empleo de fuentes de calor por menores de edad</v>
      </c>
      <c r="G325" s="70" t="str">
        <f>IF(E325="","",VLOOKUP(E325,Causas!$A$2:$D$90,3,FALSE()))</f>
        <v>4.10</v>
      </c>
      <c r="H325" s="74" t="str">
        <f>IF(E325="","",VLOOKUP(E325,Causas!$A$2:$D$90,4,FALSE()))</f>
        <v>Otras causas</v>
      </c>
      <c r="I325" s="74" t="str">
        <f>IF(E325="","",VLOOKUP(E325,Causas!$A$2:$E$90,5,FALSE()))</f>
        <v>Negligentes</v>
      </c>
      <c r="J325" s="18">
        <v>293212</v>
      </c>
      <c r="K325" s="18">
        <v>6125302</v>
      </c>
      <c r="L325" s="18">
        <v>2</v>
      </c>
      <c r="M325" s="18" t="s">
        <v>682</v>
      </c>
      <c r="N325" s="19" t="s">
        <v>941</v>
      </c>
      <c r="O325" s="31" t="s">
        <v>253</v>
      </c>
      <c r="P325" s="53">
        <v>46045</v>
      </c>
      <c r="Q325" s="40">
        <f t="shared" si="5"/>
        <v>1</v>
      </c>
      <c r="R325" s="40"/>
    </row>
    <row r="326" spans="1:18" x14ac:dyDescent="0.2">
      <c r="A326" s="17">
        <v>325</v>
      </c>
      <c r="B326" s="62" t="s">
        <v>253</v>
      </c>
      <c r="C326" s="18">
        <v>197</v>
      </c>
      <c r="D326" s="62" t="s">
        <v>901</v>
      </c>
      <c r="E326" s="18" t="s">
        <v>25</v>
      </c>
      <c r="F326" s="74" t="str">
        <f>IF(E326="","",VLOOKUP(E326,Causas!$A$2:$B$90,2,FALSE))</f>
        <v>Quema de basura residencial o desechos vegetales</v>
      </c>
      <c r="G326" s="70" t="str">
        <f>IF(E326="","",VLOOKUP(E326,Causas!$A$2:$D$90,3,FALSE()))</f>
        <v>4.8</v>
      </c>
      <c r="H326" s="74" t="str">
        <f>IF(E326="","",VLOOKUP(E326,Causas!$A$2:$D$90,4,FALSE()))</f>
        <v>Otras quemas</v>
      </c>
      <c r="I326" s="74" t="str">
        <f>IF(E326="","",VLOOKUP(E326,Causas!$A$2:$E$90,5,FALSE()))</f>
        <v>Negligentes</v>
      </c>
      <c r="J326" s="18">
        <v>298478</v>
      </c>
      <c r="K326" s="18">
        <v>6129205</v>
      </c>
      <c r="L326" s="18">
        <v>1.9</v>
      </c>
      <c r="M326" s="18" t="s">
        <v>682</v>
      </c>
      <c r="N326" s="19" t="s">
        <v>942</v>
      </c>
      <c r="O326" s="31" t="s">
        <v>253</v>
      </c>
      <c r="P326" s="53">
        <v>46001</v>
      </c>
      <c r="Q326" s="40">
        <f t="shared" si="5"/>
        <v>12</v>
      </c>
      <c r="R326" s="40"/>
    </row>
    <row r="327" spans="1:18" x14ac:dyDescent="0.2">
      <c r="A327" s="17">
        <v>326</v>
      </c>
      <c r="B327" s="62" t="s">
        <v>256</v>
      </c>
      <c r="C327" s="18">
        <v>604</v>
      </c>
      <c r="D327" s="62" t="s">
        <v>902</v>
      </c>
      <c r="E327" s="18" t="s">
        <v>25</v>
      </c>
      <c r="F327" s="74" t="str">
        <f>IF(E327="","",VLOOKUP(E327,Causas!$A$2:$B$90,2,FALSE))</f>
        <v>Quema de basura residencial o desechos vegetales</v>
      </c>
      <c r="G327" s="70" t="str">
        <f>IF(E327="","",VLOOKUP(E327,Causas!$A$2:$D$90,3,FALSE()))</f>
        <v>4.8</v>
      </c>
      <c r="H327" s="74" t="str">
        <f>IF(E327="","",VLOOKUP(E327,Causas!$A$2:$D$90,4,FALSE()))</f>
        <v>Otras quemas</v>
      </c>
      <c r="I327" s="74" t="str">
        <f>IF(E327="","",VLOOKUP(E327,Causas!$A$2:$E$90,5,FALSE()))</f>
        <v>Negligentes</v>
      </c>
      <c r="J327" s="18">
        <v>300143</v>
      </c>
      <c r="K327" s="18">
        <v>6098115</v>
      </c>
      <c r="L327" s="18">
        <v>0.1</v>
      </c>
      <c r="M327" s="18" t="s">
        <v>682</v>
      </c>
      <c r="N327" s="19" t="s">
        <v>943</v>
      </c>
      <c r="O327" s="31" t="s">
        <v>242</v>
      </c>
      <c r="P327" s="53">
        <v>46075</v>
      </c>
      <c r="Q327" s="40">
        <f t="shared" si="5"/>
        <v>2</v>
      </c>
      <c r="R327" s="40"/>
    </row>
    <row r="328" spans="1:18" x14ac:dyDescent="0.2">
      <c r="A328" s="17">
        <v>327</v>
      </c>
      <c r="B328" s="62" t="s">
        <v>256</v>
      </c>
      <c r="C328" s="18">
        <v>479</v>
      </c>
      <c r="D328" s="62" t="s">
        <v>903</v>
      </c>
      <c r="E328" s="18" t="s">
        <v>25</v>
      </c>
      <c r="F328" s="74" t="str">
        <f>IF(E328="","",VLOOKUP(E328,Causas!$A$2:$B$90,2,FALSE))</f>
        <v>Quema de basura residencial o desechos vegetales</v>
      </c>
      <c r="G328" s="70" t="str">
        <f>IF(E328="","",VLOOKUP(E328,Causas!$A$2:$D$90,3,FALSE()))</f>
        <v>4.8</v>
      </c>
      <c r="H328" s="74" t="str">
        <f>IF(E328="","",VLOOKUP(E328,Causas!$A$2:$D$90,4,FALSE()))</f>
        <v>Otras quemas</v>
      </c>
      <c r="I328" s="74" t="str">
        <f>IF(E328="","",VLOOKUP(E328,Causas!$A$2:$E$90,5,FALSE()))</f>
        <v>Negligentes</v>
      </c>
      <c r="J328" s="18">
        <v>298482</v>
      </c>
      <c r="K328" s="18">
        <v>6097704</v>
      </c>
      <c r="L328" s="18">
        <v>0.2</v>
      </c>
      <c r="M328" s="18" t="s">
        <v>682</v>
      </c>
      <c r="N328" s="19" t="s">
        <v>944</v>
      </c>
      <c r="O328" s="31" t="s">
        <v>242</v>
      </c>
      <c r="P328" s="53">
        <v>46060</v>
      </c>
      <c r="Q328" s="40">
        <f t="shared" si="5"/>
        <v>2</v>
      </c>
      <c r="R328" s="40"/>
    </row>
    <row r="329" spans="1:18" x14ac:dyDescent="0.2">
      <c r="A329" s="17">
        <v>328</v>
      </c>
      <c r="B329" s="62" t="s">
        <v>256</v>
      </c>
      <c r="C329" s="18">
        <v>389</v>
      </c>
      <c r="D329" s="62" t="s">
        <v>904</v>
      </c>
      <c r="E329" s="18" t="s">
        <v>25</v>
      </c>
      <c r="F329" s="74" t="str">
        <f>IF(E329="","",VLOOKUP(E329,Causas!$A$2:$B$90,2,FALSE))</f>
        <v>Quema de basura residencial o desechos vegetales</v>
      </c>
      <c r="G329" s="70" t="str">
        <f>IF(E329="","",VLOOKUP(E329,Causas!$A$2:$D$90,3,FALSE()))</f>
        <v>4.8</v>
      </c>
      <c r="H329" s="74" t="str">
        <f>IF(E329="","",VLOOKUP(E329,Causas!$A$2:$D$90,4,FALSE()))</f>
        <v>Otras quemas</v>
      </c>
      <c r="I329" s="74" t="str">
        <f>IF(E329="","",VLOOKUP(E329,Causas!$A$2:$E$90,5,FALSE()))</f>
        <v>Negligentes</v>
      </c>
      <c r="J329" s="18">
        <v>294068</v>
      </c>
      <c r="K329" s="18">
        <v>6093974</v>
      </c>
      <c r="L329" s="29">
        <v>1</v>
      </c>
      <c r="M329" s="18" t="s">
        <v>682</v>
      </c>
      <c r="N329" s="19" t="s">
        <v>945</v>
      </c>
      <c r="O329" s="31" t="s">
        <v>242</v>
      </c>
      <c r="P329" s="53">
        <v>46038</v>
      </c>
      <c r="Q329" s="40">
        <f t="shared" si="5"/>
        <v>1</v>
      </c>
      <c r="R329" s="40"/>
    </row>
    <row r="330" spans="1:18" x14ac:dyDescent="0.2">
      <c r="A330" s="17">
        <v>329</v>
      </c>
      <c r="B330" s="62" t="s">
        <v>256</v>
      </c>
      <c r="C330" s="18">
        <v>302</v>
      </c>
      <c r="D330" s="62" t="s">
        <v>905</v>
      </c>
      <c r="E330" s="18" t="s">
        <v>150</v>
      </c>
      <c r="F330" s="74" t="str">
        <f>IF(E330="","",VLOOKUP(E330,Causas!$A$2:$B$90,2,FALSE))</f>
        <v>Empleo de fuentes de calor en áreas no habilitadas, como fogatas para cocinar, cocinillas, calefacción, elementos para iluminar u otros.</v>
      </c>
      <c r="G330" s="70" t="str">
        <f>IF(E330="","",VLOOKUP(E330,Causas!$A$2:$D$90,3,FALSE()))</f>
        <v>4.3</v>
      </c>
      <c r="H330" s="74" t="str">
        <f>IF(E330="","",VLOOKUP(E330,Causas!$A$2:$D$90,4,FALSE()))</f>
        <v>Actividades al aire libre (camping, excursiones, caza, pesca, otros)</v>
      </c>
      <c r="I330" s="74" t="str">
        <f>IF(E330="","",VLOOKUP(E330,Causas!$A$2:$E$90,5,FALSE()))</f>
        <v>Negligentes</v>
      </c>
      <c r="J330" s="18">
        <v>294239</v>
      </c>
      <c r="K330" s="18">
        <v>6093974</v>
      </c>
      <c r="L330" s="18">
        <v>0.15</v>
      </c>
      <c r="M330" s="18" t="s">
        <v>682</v>
      </c>
      <c r="N330" s="19" t="s">
        <v>946</v>
      </c>
      <c r="O330" s="31" t="s">
        <v>242</v>
      </c>
      <c r="P330" s="53">
        <v>46022</v>
      </c>
      <c r="Q330" s="40">
        <f t="shared" si="5"/>
        <v>12</v>
      </c>
      <c r="R330" s="40"/>
    </row>
    <row r="331" spans="1:18" x14ac:dyDescent="0.2">
      <c r="A331" s="17">
        <v>330</v>
      </c>
      <c r="B331" s="62" t="s">
        <v>271</v>
      </c>
      <c r="C331" s="18">
        <v>654</v>
      </c>
      <c r="D331" s="62" t="s">
        <v>906</v>
      </c>
      <c r="E331" s="18" t="s">
        <v>16</v>
      </c>
      <c r="F331" s="74" t="str">
        <f>IF(E331="","",VLOOKUP(E331,Causas!$A$2:$B$90,2,FALSE))</f>
        <v>Quema no avisada de desechos forestales que se propaga libre y sin control</v>
      </c>
      <c r="G331" s="70" t="str">
        <f>IF(E331="","",VLOOKUP(E331,Causas!$A$2:$D$90,3,FALSE()))</f>
        <v>4.1</v>
      </c>
      <c r="H331" s="74" t="str">
        <f>IF(E331="","",VLOOKUP(E331,Causas!$A$2:$D$90,4,FALSE()))</f>
        <v>Faenas forestales</v>
      </c>
      <c r="I331" s="74" t="str">
        <f>IF(E331="","",VLOOKUP(E331,Causas!$A$2:$E$90,5,FALSE()))</f>
        <v>Negligentes</v>
      </c>
      <c r="J331" s="18">
        <v>261086</v>
      </c>
      <c r="K331" s="18">
        <v>5981181</v>
      </c>
      <c r="L331" s="18">
        <v>1E-3</v>
      </c>
      <c r="M331" s="18" t="s">
        <v>682</v>
      </c>
      <c r="N331" s="19" t="s">
        <v>947</v>
      </c>
      <c r="O331" s="31" t="s">
        <v>248</v>
      </c>
      <c r="P331" s="53">
        <v>46116</v>
      </c>
      <c r="Q331" s="40">
        <f t="shared" si="5"/>
        <v>4</v>
      </c>
      <c r="R331" s="40"/>
    </row>
    <row r="332" spans="1:18" x14ac:dyDescent="0.2">
      <c r="A332" s="17">
        <v>331</v>
      </c>
      <c r="B332" s="62" t="s">
        <v>271</v>
      </c>
      <c r="C332" s="18">
        <v>341</v>
      </c>
      <c r="D332" s="62" t="s">
        <v>907</v>
      </c>
      <c r="E332" s="18" t="s">
        <v>196</v>
      </c>
      <c r="F332" s="74" t="str">
        <f>IF(E332="","",VLOOKUP(E332,Causas!$A$2:$B$90,2,FALSE))</f>
        <v>Sobrecalentamiento de estructuras asociados al sistema eléctrico (poste, transformador, uniones, aisladores, otros)</v>
      </c>
      <c r="G332" s="70" t="str">
        <f>IF(E332="","",VLOOKUP(E332,Causas!$A$2:$D$90,3,FALSE()))</f>
        <v>4.9</v>
      </c>
      <c r="H332" s="74" t="str">
        <f>IF(E332="","",VLOOKUP(E332,Causas!$A$2:$D$90,4,FALSE()))</f>
        <v>Líneas eléctricas</v>
      </c>
      <c r="I332" s="74" t="str">
        <f>IF(E332="","",VLOOKUP(E332,Causas!$A$2:$E$90,5,FALSE()))</f>
        <v>Negligentes</v>
      </c>
      <c r="J332" s="18">
        <v>261648</v>
      </c>
      <c r="K332" s="18">
        <v>5979086</v>
      </c>
      <c r="L332" s="18">
        <v>0.7</v>
      </c>
      <c r="M332" s="18" t="s">
        <v>682</v>
      </c>
      <c r="N332" s="19" t="s">
        <v>948</v>
      </c>
      <c r="O332" s="31" t="s">
        <v>248</v>
      </c>
      <c r="P332" s="53">
        <v>46032</v>
      </c>
      <c r="Q332" s="40">
        <f t="shared" si="5"/>
        <v>1</v>
      </c>
      <c r="R332" s="40"/>
    </row>
    <row r="333" spans="1:18" x14ac:dyDescent="0.2">
      <c r="A333" s="17">
        <v>332</v>
      </c>
      <c r="B333" s="64" t="s">
        <v>271</v>
      </c>
      <c r="C333" s="27">
        <v>582</v>
      </c>
      <c r="D333" s="64" t="s">
        <v>908</v>
      </c>
      <c r="E333" s="27" t="s">
        <v>165</v>
      </c>
      <c r="F333" s="74" t="str">
        <f>IF(E333="","",VLOOKUP(E333,Causas!$A$2:$B$90,2,FALSE))</f>
        <v>Generado por el uso de equipos o herramientas con fines de construcción, limpieza o montaje de estructuras</v>
      </c>
      <c r="G333" s="70" t="str">
        <f>IF(E333="","",VLOOKUP(E333,Causas!$A$2:$D$90,3,FALSE()))</f>
        <v>4.6</v>
      </c>
      <c r="H333" s="74" t="str">
        <f>IF(E333="","",VLOOKUP(E333,Causas!$A$2:$D$90,4,FALSE()))</f>
        <v>Parcelaciones, edificaciones residenciales, industriales u otras en zonas rurales o de interfaz</v>
      </c>
      <c r="I333" s="74" t="str">
        <f>IF(E333="","",VLOOKUP(E333,Causas!$A$2:$E$90,5,FALSE()))</f>
        <v>Negligentes</v>
      </c>
      <c r="J333" s="27">
        <v>258626</v>
      </c>
      <c r="K333" s="27">
        <v>5979244</v>
      </c>
      <c r="L333" s="27">
        <v>0.3</v>
      </c>
      <c r="M333" s="27" t="s">
        <v>682</v>
      </c>
      <c r="N333" s="30" t="s">
        <v>949</v>
      </c>
      <c r="O333" s="76" t="s">
        <v>248</v>
      </c>
      <c r="P333" s="53">
        <v>46084</v>
      </c>
      <c r="Q333" s="40">
        <f t="shared" si="5"/>
        <v>3</v>
      </c>
      <c r="R333" s="40"/>
    </row>
    <row r="334" spans="1:18" x14ac:dyDescent="0.2">
      <c r="A334" s="17">
        <v>333</v>
      </c>
      <c r="B334" s="65" t="s">
        <v>245</v>
      </c>
      <c r="C334" s="21">
        <v>503</v>
      </c>
      <c r="D334" s="65" t="s">
        <v>909</v>
      </c>
      <c r="E334" s="21" t="s">
        <v>192</v>
      </c>
      <c r="F334" s="74" t="str">
        <f>IF(E334="","",VLOOKUP(E334,Causas!$A$2:$B$90,2,FALSE))</f>
        <v>Corte de conductor eléctrico por caída de rama o árbol (excepto por faena forestal o agrícola)</v>
      </c>
      <c r="G334" s="70" t="str">
        <f>IF(E334="","",VLOOKUP(E334,Causas!$A$2:$D$90,3,FALSE()))</f>
        <v>4.9</v>
      </c>
      <c r="H334" s="74" t="str">
        <f>IF(E334="","",VLOOKUP(E334,Causas!$A$2:$D$90,4,FALSE()))</f>
        <v>Líneas eléctricas</v>
      </c>
      <c r="I334" s="74" t="str">
        <f>IF(E334="","",VLOOKUP(E334,Causas!$A$2:$E$90,5,FALSE()))</f>
        <v>Negligentes</v>
      </c>
      <c r="J334" s="21">
        <v>254766</v>
      </c>
      <c r="K334" s="21">
        <v>6080650</v>
      </c>
      <c r="L334" s="21">
        <v>0.1</v>
      </c>
      <c r="M334" s="21" t="s">
        <v>682</v>
      </c>
      <c r="N334" s="31" t="s">
        <v>950</v>
      </c>
      <c r="O334" s="31" t="s">
        <v>242</v>
      </c>
      <c r="P334" s="54">
        <v>46064</v>
      </c>
      <c r="Q334" s="40">
        <f t="shared" si="5"/>
        <v>2</v>
      </c>
      <c r="R334" s="40"/>
    </row>
    <row r="335" spans="1:18" x14ac:dyDescent="0.2">
      <c r="A335" s="17">
        <v>334</v>
      </c>
      <c r="B335" s="65" t="s">
        <v>245</v>
      </c>
      <c r="C335" s="21">
        <v>182</v>
      </c>
      <c r="D335" s="65" t="s">
        <v>910</v>
      </c>
      <c r="E335" s="21" t="s">
        <v>165</v>
      </c>
      <c r="F335" s="74" t="str">
        <f>IF(E335="","",VLOOKUP(E335,Causas!$A$2:$B$90,2,FALSE))</f>
        <v>Generado por el uso de equipos o herramientas con fines de construcción, limpieza o montaje de estructuras</v>
      </c>
      <c r="G335" s="70" t="str">
        <f>IF(E335="","",VLOOKUP(E335,Causas!$A$2:$D$90,3,FALSE()))</f>
        <v>4.6</v>
      </c>
      <c r="H335" s="74" t="str">
        <f>IF(E335="","",VLOOKUP(E335,Causas!$A$2:$D$90,4,FALSE()))</f>
        <v>Parcelaciones, edificaciones residenciales, industriales u otras en zonas rurales o de interfaz</v>
      </c>
      <c r="I335" s="74" t="str">
        <f>IF(E335="","",VLOOKUP(E335,Causas!$A$2:$E$90,5,FALSE()))</f>
        <v>Negligentes</v>
      </c>
      <c r="J335" s="21">
        <v>249607</v>
      </c>
      <c r="K335" s="21">
        <v>6078714</v>
      </c>
      <c r="L335" s="21">
        <v>0.1</v>
      </c>
      <c r="M335" s="21" t="s">
        <v>682</v>
      </c>
      <c r="N335" s="31" t="s">
        <v>951</v>
      </c>
      <c r="O335" s="31" t="s">
        <v>242</v>
      </c>
      <c r="P335" s="54">
        <v>45999</v>
      </c>
      <c r="Q335" s="40">
        <f t="shared" si="5"/>
        <v>12</v>
      </c>
      <c r="R335" s="40"/>
    </row>
    <row r="336" spans="1:18" x14ac:dyDescent="0.2">
      <c r="A336" s="17">
        <v>335</v>
      </c>
      <c r="B336" s="65" t="s">
        <v>256</v>
      </c>
      <c r="C336" s="21">
        <v>557</v>
      </c>
      <c r="D336" s="65" t="s">
        <v>463</v>
      </c>
      <c r="E336" s="21" t="s">
        <v>20</v>
      </c>
      <c r="F336" s="74" t="str">
        <f>IF(E336="","",VLOOKUP(E336,Causas!$A$2:$B$90,2,FALSE))</f>
        <v>Empleo de fuentes de calor en faena de extracción y/o confección de leña no industrial</v>
      </c>
      <c r="G336" s="70" t="str">
        <f>IF(E336="","",VLOOKUP(E336,Causas!$A$2:$D$90,3,FALSE()))</f>
        <v>4.11</v>
      </c>
      <c r="H336" s="74" t="str">
        <f>IF(E336="","",VLOOKUP(E336,Causas!$A$2:$D$90,4,FALSE()))</f>
        <v>Producción y/o extracción de productos y/o derivados del bosque</v>
      </c>
      <c r="I336" s="74" t="str">
        <f>IF(E336="","",VLOOKUP(E336,Causas!$A$2:$E$90,5,FALSE()))</f>
        <v>Negligentes</v>
      </c>
      <c r="J336" s="21">
        <v>283769</v>
      </c>
      <c r="K336" s="21">
        <v>6095877</v>
      </c>
      <c r="L336" s="21">
        <v>0.15</v>
      </c>
      <c r="M336" s="21" t="s">
        <v>682</v>
      </c>
      <c r="N336" s="31" t="s">
        <v>952</v>
      </c>
      <c r="O336" s="31" t="s">
        <v>242</v>
      </c>
      <c r="P336" s="53">
        <v>46077</v>
      </c>
      <c r="Q336" s="40">
        <f t="shared" si="5"/>
        <v>2</v>
      </c>
      <c r="R336" s="40"/>
    </row>
    <row r="337" spans="1:18" x14ac:dyDescent="0.2">
      <c r="A337" s="17">
        <v>336</v>
      </c>
      <c r="B337" s="65" t="s">
        <v>256</v>
      </c>
      <c r="C337" s="21">
        <v>511</v>
      </c>
      <c r="D337" s="65" t="s">
        <v>911</v>
      </c>
      <c r="E337" s="21" t="s">
        <v>14</v>
      </c>
      <c r="F337" s="74" t="str">
        <f>IF(E337="","",VLOOKUP(E337,Causas!$A$2:$B$90,2,FALSE))</f>
        <v>Quema no avisada con fines de limpieza en canales, cunetas, cercos o caminos (en predios particulares o públicos) que se propaga libre y sin control</v>
      </c>
      <c r="G337" s="70" t="str">
        <f>IF(E337="","",VLOOKUP(E337,Causas!$A$2:$D$90,3,FALSE()))</f>
        <v>4.8</v>
      </c>
      <c r="H337" s="74" t="str">
        <f>IF(E337="","",VLOOKUP(E337,Causas!$A$2:$D$90,4,FALSE()))</f>
        <v>Otras quemas</v>
      </c>
      <c r="I337" s="74" t="str">
        <f>IF(E337="","",VLOOKUP(E337,Causas!$A$2:$E$90,5,FALSE()))</f>
        <v>Negligentes</v>
      </c>
      <c r="J337" s="21">
        <v>290915</v>
      </c>
      <c r="K337" s="21">
        <v>6093907</v>
      </c>
      <c r="L337" s="21">
        <v>0.3</v>
      </c>
      <c r="M337" s="21" t="s">
        <v>682</v>
      </c>
      <c r="N337" s="31" t="s">
        <v>953</v>
      </c>
      <c r="O337" s="31" t="s">
        <v>242</v>
      </c>
      <c r="P337" s="53">
        <v>46065</v>
      </c>
      <c r="Q337" s="40">
        <f t="shared" si="5"/>
        <v>2</v>
      </c>
      <c r="R337" s="40"/>
    </row>
    <row r="338" spans="1:18" x14ac:dyDescent="0.2">
      <c r="A338" s="17">
        <v>337</v>
      </c>
      <c r="B338" s="65" t="s">
        <v>255</v>
      </c>
      <c r="C338" s="21">
        <v>516</v>
      </c>
      <c r="D338" s="65" t="s">
        <v>912</v>
      </c>
      <c r="E338" s="21" t="s">
        <v>69</v>
      </c>
      <c r="F338" s="74" t="str">
        <f>IF(E338="","",VLOOKUP(E338,Causas!$A$2:$B$90,2,FALSE))</f>
        <v>Accidente o incendio de vehículo</v>
      </c>
      <c r="G338" s="70" t="str">
        <f>IF(E338="","",VLOOKUP(E338,Causas!$A$2:$D$90,3,FALSE()))</f>
        <v>1.7</v>
      </c>
      <c r="H338" s="74" t="str">
        <f>IF(E338="","",VLOOKUP(E338,Causas!$A$2:$D$90,4,FALSE()))</f>
        <v>Originados por desplazamiento de personas, vehículos o aeronaves</v>
      </c>
      <c r="I338" s="74" t="str">
        <f>IF(E338="","",VLOOKUP(E338,Causas!$A$2:$E$90,5,FALSE()))</f>
        <v>Accidentales</v>
      </c>
      <c r="J338" s="21">
        <v>292233</v>
      </c>
      <c r="K338" s="21">
        <v>6077032</v>
      </c>
      <c r="L338" s="21">
        <v>2.4</v>
      </c>
      <c r="M338" s="21" t="s">
        <v>682</v>
      </c>
      <c r="N338" s="31" t="s">
        <v>954</v>
      </c>
      <c r="O338" s="31" t="s">
        <v>242</v>
      </c>
      <c r="P338" s="53">
        <v>46066</v>
      </c>
      <c r="Q338" s="40">
        <f t="shared" si="5"/>
        <v>2</v>
      </c>
      <c r="R338" s="40"/>
    </row>
    <row r="339" spans="1:18" x14ac:dyDescent="0.2">
      <c r="A339" s="17">
        <v>338</v>
      </c>
      <c r="B339" s="65" t="s">
        <v>269</v>
      </c>
      <c r="C339" s="21">
        <v>159</v>
      </c>
      <c r="D339" s="65" t="s">
        <v>913</v>
      </c>
      <c r="E339" s="21" t="s">
        <v>134</v>
      </c>
      <c r="F339" s="74" t="str">
        <f>IF(E339="","",VLOOKUP(E339,Causas!$A$2:$B$90,2,FALSE))</f>
        <v>Quema no avisada de desechos agrícolas que se propaga libre y sin control</v>
      </c>
      <c r="G339" s="70" t="str">
        <f>IF(E339="","",VLOOKUP(E339,Causas!$A$2:$D$90,3,FALSE()))</f>
        <v>4.2</v>
      </c>
      <c r="H339" s="74" t="str">
        <f>IF(E339="","",VLOOKUP(E339,Causas!$A$2:$D$90,4,FALSE()))</f>
        <v>Faenas agrícolas y pecuarias</v>
      </c>
      <c r="I339" s="74" t="str">
        <f>IF(E339="","",VLOOKUP(E339,Causas!$A$2:$E$90,5,FALSE()))</f>
        <v>Negligentes</v>
      </c>
      <c r="J339" s="21">
        <v>306626</v>
      </c>
      <c r="K339" s="21">
        <v>6140544</v>
      </c>
      <c r="L339" s="21">
        <v>0.2</v>
      </c>
      <c r="M339" s="21" t="s">
        <v>682</v>
      </c>
      <c r="N339" s="31" t="s">
        <v>955</v>
      </c>
      <c r="O339" s="31" t="s">
        <v>253</v>
      </c>
      <c r="P339" s="53">
        <v>45994</v>
      </c>
      <c r="Q339" s="40">
        <f t="shared" si="5"/>
        <v>12</v>
      </c>
      <c r="R339" s="40"/>
    </row>
    <row r="340" spans="1:18" x14ac:dyDescent="0.2">
      <c r="A340" s="17">
        <v>339</v>
      </c>
      <c r="B340" s="65" t="s">
        <v>269</v>
      </c>
      <c r="C340" s="21">
        <v>167</v>
      </c>
      <c r="D340" s="65" t="s">
        <v>914</v>
      </c>
      <c r="E340" s="21" t="s">
        <v>221</v>
      </c>
      <c r="F340" s="74" t="str">
        <f>IF(E340="","",VLOOKUP(E340,Causas!$A$2:$B$90,2,FALSE))</f>
        <v>Empleo de fuentes de calor por personas en situación de calle</v>
      </c>
      <c r="G340" s="70" t="str">
        <f>IF(E340="","",VLOOKUP(E340,Causas!$A$2:$D$90,3,FALSE()))</f>
        <v>4.10</v>
      </c>
      <c r="H340" s="74" t="str">
        <f>IF(E340="","",VLOOKUP(E340,Causas!$A$2:$D$90,4,FALSE()))</f>
        <v>Otras causas</v>
      </c>
      <c r="I340" s="74" t="str">
        <f>IF(E340="","",VLOOKUP(E340,Causas!$A$2:$E$90,5,FALSE()))</f>
        <v>Negligentes</v>
      </c>
      <c r="J340" s="21">
        <v>307667</v>
      </c>
      <c r="K340" s="21">
        <v>6142448</v>
      </c>
      <c r="L340" s="21">
        <v>0.5</v>
      </c>
      <c r="M340" s="21" t="s">
        <v>682</v>
      </c>
      <c r="N340" s="31" t="s">
        <v>956</v>
      </c>
      <c r="O340" s="31" t="s">
        <v>253</v>
      </c>
      <c r="P340" s="53">
        <v>45995</v>
      </c>
      <c r="Q340" s="40">
        <f t="shared" si="5"/>
        <v>12</v>
      </c>
      <c r="R340" s="40"/>
    </row>
    <row r="341" spans="1:18" x14ac:dyDescent="0.2">
      <c r="A341" s="17">
        <v>340</v>
      </c>
      <c r="B341" s="65" t="s">
        <v>269</v>
      </c>
      <c r="C341" s="21">
        <v>152</v>
      </c>
      <c r="D341" s="65" t="s">
        <v>915</v>
      </c>
      <c r="E341" s="21" t="s">
        <v>14</v>
      </c>
      <c r="F341" s="74" t="str">
        <f>IF(E341="","",VLOOKUP(E341,Causas!$A$2:$B$90,2,FALSE))</f>
        <v>Quema no avisada con fines de limpieza en canales, cunetas, cercos o caminos (en predios particulares o públicos) que se propaga libre y sin control</v>
      </c>
      <c r="G341" s="70" t="str">
        <f>IF(E341="","",VLOOKUP(E341,Causas!$A$2:$D$90,3,FALSE()))</f>
        <v>4.8</v>
      </c>
      <c r="H341" s="74" t="str">
        <f>IF(E341="","",VLOOKUP(E341,Causas!$A$2:$D$90,4,FALSE()))</f>
        <v>Otras quemas</v>
      </c>
      <c r="I341" s="74" t="str">
        <f>IF(E341="","",VLOOKUP(E341,Causas!$A$2:$E$90,5,FALSE()))</f>
        <v>Negligentes</v>
      </c>
      <c r="J341" s="21">
        <v>312709</v>
      </c>
      <c r="K341" s="21">
        <v>6147865</v>
      </c>
      <c r="L341" s="21">
        <v>0.5</v>
      </c>
      <c r="M341" s="21" t="s">
        <v>682</v>
      </c>
      <c r="N341" s="31" t="s">
        <v>957</v>
      </c>
      <c r="O341" s="31" t="s">
        <v>253</v>
      </c>
      <c r="P341" s="53">
        <v>45993</v>
      </c>
      <c r="Q341" s="40">
        <f t="shared" si="5"/>
        <v>12</v>
      </c>
      <c r="R341" s="40"/>
    </row>
    <row r="342" spans="1:18" x14ac:dyDescent="0.2">
      <c r="A342" s="17">
        <v>341</v>
      </c>
      <c r="B342" s="65" t="s">
        <v>269</v>
      </c>
      <c r="C342" s="21">
        <v>380</v>
      </c>
      <c r="D342" s="65" t="s">
        <v>916</v>
      </c>
      <c r="E342" s="21" t="s">
        <v>14</v>
      </c>
      <c r="F342" s="74" t="str">
        <f>IF(E342="","",VLOOKUP(E342,Causas!$A$2:$B$90,2,FALSE))</f>
        <v>Quema no avisada con fines de limpieza en canales, cunetas, cercos o caminos (en predios particulares o públicos) que se propaga libre y sin control</v>
      </c>
      <c r="G342" s="70" t="str">
        <f>IF(E342="","",VLOOKUP(E342,Causas!$A$2:$D$90,3,FALSE()))</f>
        <v>4.8</v>
      </c>
      <c r="H342" s="74" t="str">
        <f>IF(E342="","",VLOOKUP(E342,Causas!$A$2:$D$90,4,FALSE()))</f>
        <v>Otras quemas</v>
      </c>
      <c r="I342" s="74" t="str">
        <f>IF(E342="","",VLOOKUP(E342,Causas!$A$2:$E$90,5,FALSE()))</f>
        <v>Negligentes</v>
      </c>
      <c r="J342" s="21">
        <v>301209</v>
      </c>
      <c r="K342" s="21">
        <v>6139306</v>
      </c>
      <c r="L342" s="21">
        <v>1.4</v>
      </c>
      <c r="M342" s="21" t="s">
        <v>682</v>
      </c>
      <c r="N342" s="31" t="s">
        <v>958</v>
      </c>
      <c r="O342" s="31" t="s">
        <v>253</v>
      </c>
      <c r="P342" s="53">
        <v>46037</v>
      </c>
      <c r="Q342" s="40">
        <f t="shared" si="5"/>
        <v>1</v>
      </c>
      <c r="R342" s="40"/>
    </row>
    <row r="343" spans="1:18" x14ac:dyDescent="0.2">
      <c r="A343" s="17">
        <v>342</v>
      </c>
      <c r="B343" s="65" t="s">
        <v>247</v>
      </c>
      <c r="C343" s="21">
        <v>629</v>
      </c>
      <c r="D343" s="65" t="s">
        <v>917</v>
      </c>
      <c r="E343" s="21" t="s">
        <v>134</v>
      </c>
      <c r="F343" s="74" t="str">
        <f>IF(E343="","",VLOOKUP(E343,Causas!$A$2:$B$90,2,FALSE))</f>
        <v>Quema no avisada de desechos agrícolas que se propaga libre y sin control</v>
      </c>
      <c r="G343" s="70" t="str">
        <f>IF(E343="","",VLOOKUP(E343,Causas!$A$2:$D$90,3,FALSE()))</f>
        <v>4.2</v>
      </c>
      <c r="H343" s="74" t="str">
        <f>IF(E343="","",VLOOKUP(E343,Causas!$A$2:$D$90,4,FALSE()))</f>
        <v>Faenas agrícolas y pecuarias</v>
      </c>
      <c r="I343" s="74" t="str">
        <f>IF(E343="","",VLOOKUP(E343,Causas!$A$2:$E$90,5,FALSE()))</f>
        <v>Negligentes</v>
      </c>
      <c r="J343" s="21">
        <v>255707</v>
      </c>
      <c r="K343" s="21">
        <v>6025737</v>
      </c>
      <c r="L343" s="21">
        <v>2.4</v>
      </c>
      <c r="M343" s="21" t="s">
        <v>682</v>
      </c>
      <c r="N343" s="31" t="s">
        <v>959</v>
      </c>
      <c r="O343" s="77" t="s">
        <v>248</v>
      </c>
      <c r="P343" s="53">
        <v>46099</v>
      </c>
      <c r="Q343" s="40">
        <f t="shared" si="5"/>
        <v>3</v>
      </c>
      <c r="R343" s="40"/>
    </row>
    <row r="344" spans="1:18" x14ac:dyDescent="0.2">
      <c r="A344" s="17">
        <v>343</v>
      </c>
      <c r="B344" s="65" t="s">
        <v>247</v>
      </c>
      <c r="C344" s="21">
        <v>644</v>
      </c>
      <c r="D344" s="65" t="s">
        <v>918</v>
      </c>
      <c r="E344" s="21" t="s">
        <v>25</v>
      </c>
      <c r="F344" s="74" t="str">
        <f>IF(E344="","",VLOOKUP(E344,Causas!$A$2:$B$90,2,FALSE))</f>
        <v>Quema de basura residencial o desechos vegetales</v>
      </c>
      <c r="G344" s="70" t="str">
        <f>IF(E344="","",VLOOKUP(E344,Causas!$A$2:$D$90,3,FALSE()))</f>
        <v>4.8</v>
      </c>
      <c r="H344" s="74" t="str">
        <f>IF(E344="","",VLOOKUP(E344,Causas!$A$2:$D$90,4,FALSE()))</f>
        <v>Otras quemas</v>
      </c>
      <c r="I344" s="74" t="str">
        <f>IF(E344="","",VLOOKUP(E344,Causas!$A$2:$E$90,5,FALSE()))</f>
        <v>Negligentes</v>
      </c>
      <c r="J344" s="21">
        <v>270409</v>
      </c>
      <c r="K344" s="21">
        <v>6010144</v>
      </c>
      <c r="L344" s="21">
        <v>0.2</v>
      </c>
      <c r="M344" s="21" t="s">
        <v>682</v>
      </c>
      <c r="N344" s="31" t="s">
        <v>960</v>
      </c>
      <c r="O344" s="77" t="s">
        <v>248</v>
      </c>
      <c r="P344" s="54">
        <v>46111</v>
      </c>
      <c r="Q344" s="40">
        <f t="shared" si="5"/>
        <v>3</v>
      </c>
      <c r="R344" s="40"/>
    </row>
    <row r="345" spans="1:18" x14ac:dyDescent="0.2">
      <c r="A345" s="17">
        <v>344</v>
      </c>
      <c r="B345" s="65" t="s">
        <v>242</v>
      </c>
      <c r="C345" s="21">
        <v>146</v>
      </c>
      <c r="D345" s="65" t="s">
        <v>919</v>
      </c>
      <c r="E345" s="21" t="s">
        <v>25</v>
      </c>
      <c r="F345" s="74" t="str">
        <f>IF(E345="","",VLOOKUP(E345,Causas!$A$2:$B$90,2,FALSE))</f>
        <v>Quema de basura residencial o desechos vegetales</v>
      </c>
      <c r="G345" s="70" t="str">
        <f>IF(E345="","",VLOOKUP(E345,Causas!$A$2:$D$90,3,FALSE()))</f>
        <v>4.8</v>
      </c>
      <c r="H345" s="74" t="str">
        <f>IF(E345="","",VLOOKUP(E345,Causas!$A$2:$D$90,4,FALSE()))</f>
        <v>Otras quemas</v>
      </c>
      <c r="I345" s="74" t="str">
        <f>IF(E345="","",VLOOKUP(E345,Causas!$A$2:$E$90,5,FALSE()))</f>
        <v>Negligentes</v>
      </c>
      <c r="J345" s="21">
        <v>260123</v>
      </c>
      <c r="K345" s="21">
        <v>6080071</v>
      </c>
      <c r="L345" s="21">
        <v>1.2</v>
      </c>
      <c r="M345" s="21" t="s">
        <v>682</v>
      </c>
      <c r="N345" s="31" t="s">
        <v>961</v>
      </c>
      <c r="O345" s="77" t="s">
        <v>242</v>
      </c>
      <c r="P345" s="53">
        <v>46356</v>
      </c>
      <c r="Q345" s="40">
        <f t="shared" si="5"/>
        <v>11</v>
      </c>
      <c r="R345" s="40"/>
    </row>
    <row r="346" spans="1:18" x14ac:dyDescent="0.2">
      <c r="A346" s="17">
        <v>345</v>
      </c>
      <c r="B346" s="65" t="s">
        <v>242</v>
      </c>
      <c r="C346" s="21">
        <v>469</v>
      </c>
      <c r="D346" s="65" t="s">
        <v>920</v>
      </c>
      <c r="E346" s="21" t="s">
        <v>221</v>
      </c>
      <c r="F346" s="74" t="str">
        <f>IF(E346="","",VLOOKUP(E346,Causas!$A$2:$B$90,2,FALSE))</f>
        <v>Empleo de fuentes de calor por personas en situación de calle</v>
      </c>
      <c r="G346" s="70" t="str">
        <f>IF(E346="","",VLOOKUP(E346,Causas!$A$2:$D$90,3,FALSE()))</f>
        <v>4.10</v>
      </c>
      <c r="H346" s="74" t="str">
        <f>IF(E346="","",VLOOKUP(E346,Causas!$A$2:$D$90,4,FALSE()))</f>
        <v>Otras causas</v>
      </c>
      <c r="I346" s="74" t="str">
        <f>IF(E346="","",VLOOKUP(E346,Causas!$A$2:$E$90,5,FALSE()))</f>
        <v>Negligentes</v>
      </c>
      <c r="J346" s="21">
        <v>260867</v>
      </c>
      <c r="K346" s="21">
        <v>6077625</v>
      </c>
      <c r="L346" s="21">
        <v>0.6</v>
      </c>
      <c r="M346" s="21" t="s">
        <v>682</v>
      </c>
      <c r="N346" s="31" t="s">
        <v>962</v>
      </c>
      <c r="O346" s="77" t="s">
        <v>242</v>
      </c>
      <c r="P346" s="53">
        <v>46058</v>
      </c>
      <c r="Q346" s="40">
        <f t="shared" si="5"/>
        <v>2</v>
      </c>
      <c r="R346" s="40"/>
    </row>
    <row r="347" spans="1:18" x14ac:dyDescent="0.2">
      <c r="A347" s="17">
        <v>346</v>
      </c>
      <c r="B347" s="65" t="s">
        <v>242</v>
      </c>
      <c r="C347" s="21">
        <v>553</v>
      </c>
      <c r="D347" s="65" t="s">
        <v>921</v>
      </c>
      <c r="E347" s="21" t="s">
        <v>25</v>
      </c>
      <c r="F347" s="74" t="str">
        <f>IF(E347="","",VLOOKUP(E347,Causas!$A$2:$B$90,2,FALSE))</f>
        <v>Quema de basura residencial o desechos vegetales</v>
      </c>
      <c r="G347" s="70" t="str">
        <f>IF(E347="","",VLOOKUP(E347,Causas!$A$2:$D$90,3,FALSE()))</f>
        <v>4.8</v>
      </c>
      <c r="H347" s="74" t="str">
        <f>IF(E347="","",VLOOKUP(E347,Causas!$A$2:$D$90,4,FALSE()))</f>
        <v>Otras quemas</v>
      </c>
      <c r="I347" s="74" t="str">
        <f>IF(E347="","",VLOOKUP(E347,Causas!$A$2:$E$90,5,FALSE()))</f>
        <v>Negligentes</v>
      </c>
      <c r="J347" s="21">
        <v>260441</v>
      </c>
      <c r="K347" s="21">
        <v>6074041</v>
      </c>
      <c r="L347" s="21">
        <v>0.1</v>
      </c>
      <c r="M347" s="21" t="s">
        <v>682</v>
      </c>
      <c r="N347" s="31" t="s">
        <v>963</v>
      </c>
      <c r="O347" s="77" t="s">
        <v>242</v>
      </c>
      <c r="P347" s="53">
        <v>46076</v>
      </c>
      <c r="Q347" s="40">
        <f t="shared" si="5"/>
        <v>2</v>
      </c>
      <c r="R347" s="40"/>
    </row>
    <row r="348" spans="1:18" x14ac:dyDescent="0.2">
      <c r="A348" s="17">
        <v>347</v>
      </c>
      <c r="B348" s="65" t="s">
        <v>242</v>
      </c>
      <c r="C348" s="21">
        <v>487</v>
      </c>
      <c r="D348" s="65" t="s">
        <v>922</v>
      </c>
      <c r="E348" s="21" t="s">
        <v>14</v>
      </c>
      <c r="F348" s="74" t="str">
        <f>IF(E348="","",VLOOKUP(E348,Causas!$A$2:$B$90,2,FALSE))</f>
        <v>Quema no avisada con fines de limpieza en canales, cunetas, cercos o caminos (en predios particulares o públicos) que se propaga libre y sin control</v>
      </c>
      <c r="G348" s="70" t="str">
        <f>IF(E348="","",VLOOKUP(E348,Causas!$A$2:$D$90,3,FALSE()))</f>
        <v>4.8</v>
      </c>
      <c r="H348" s="74" t="str">
        <f>IF(E348="","",VLOOKUP(E348,Causas!$A$2:$D$90,4,FALSE()))</f>
        <v>Otras quemas</v>
      </c>
      <c r="I348" s="74" t="str">
        <f>IF(E348="","",VLOOKUP(E348,Causas!$A$2:$E$90,5,FALSE()))</f>
        <v>Negligentes</v>
      </c>
      <c r="J348" s="21">
        <v>259978</v>
      </c>
      <c r="K348" s="21">
        <v>6082356</v>
      </c>
      <c r="L348" s="21">
        <v>1.5</v>
      </c>
      <c r="M348" s="21" t="s">
        <v>682</v>
      </c>
      <c r="N348" s="31" t="s">
        <v>964</v>
      </c>
      <c r="O348" s="77" t="s">
        <v>242</v>
      </c>
      <c r="P348" s="53">
        <v>46061</v>
      </c>
      <c r="Q348" s="40">
        <f t="shared" si="5"/>
        <v>2</v>
      </c>
      <c r="R348" s="40"/>
    </row>
    <row r="349" spans="1:18" x14ac:dyDescent="0.2">
      <c r="A349" s="17">
        <v>348</v>
      </c>
      <c r="B349" s="65" t="s">
        <v>242</v>
      </c>
      <c r="C349" s="21">
        <v>578</v>
      </c>
      <c r="D349" s="65" t="s">
        <v>923</v>
      </c>
      <c r="E349" s="21" t="s">
        <v>198</v>
      </c>
      <c r="F349" s="74" t="str">
        <f>IF(E349="","",VLOOKUP(E349,Causas!$A$2:$B$90,2,FALSE))</f>
        <v>Otras causas eléctricas negligentes no  clasificadas</v>
      </c>
      <c r="G349" s="70" t="str">
        <f>IF(E349="","",VLOOKUP(E349,Causas!$A$2:$D$90,3,FALSE()))</f>
        <v>4.9</v>
      </c>
      <c r="H349" s="74" t="str">
        <f>IF(E349="","",VLOOKUP(E349,Causas!$A$2:$D$90,4,FALSE()))</f>
        <v>Líneas eléctricas</v>
      </c>
      <c r="I349" s="74" t="str">
        <f>IF(E349="","",VLOOKUP(E349,Causas!$A$2:$E$90,5,FALSE()))</f>
        <v>Negligentes</v>
      </c>
      <c r="J349" s="21">
        <v>259603</v>
      </c>
      <c r="K349" s="21">
        <v>6086934</v>
      </c>
      <c r="L349" s="21">
        <v>0.6</v>
      </c>
      <c r="M349" s="21" t="s">
        <v>682</v>
      </c>
      <c r="N349" s="31" t="s">
        <v>965</v>
      </c>
      <c r="O349" s="31" t="s">
        <v>242</v>
      </c>
      <c r="P349" s="54">
        <v>46081</v>
      </c>
      <c r="Q349" s="40">
        <f t="shared" si="5"/>
        <v>2</v>
      </c>
      <c r="R349" s="40"/>
    </row>
    <row r="350" spans="1:18" x14ac:dyDescent="0.2">
      <c r="A350" s="17">
        <v>349</v>
      </c>
      <c r="B350" s="65" t="s">
        <v>12</v>
      </c>
      <c r="C350" s="21">
        <v>361</v>
      </c>
      <c r="D350" s="65" t="s">
        <v>616</v>
      </c>
      <c r="E350" s="21" t="s">
        <v>25</v>
      </c>
      <c r="F350" s="74" t="str">
        <f>IF(E350="","",VLOOKUP(E350,Causas!$A$2:$B$90,2,FALSE))</f>
        <v>Quema de basura residencial o desechos vegetales</v>
      </c>
      <c r="G350" s="70" t="str">
        <f>IF(E350="","",VLOOKUP(E350,Causas!$A$2:$D$90,3,FALSE()))</f>
        <v>4.8</v>
      </c>
      <c r="H350" s="74" t="str">
        <f>IF(E350="","",VLOOKUP(E350,Causas!$A$2:$D$90,4,FALSE()))</f>
        <v>Otras quemas</v>
      </c>
      <c r="I350" s="74" t="str">
        <f>IF(E350="","",VLOOKUP(E350,Causas!$A$2:$E$90,5,FALSE()))</f>
        <v>Negligentes</v>
      </c>
      <c r="J350" s="21">
        <v>256379</v>
      </c>
      <c r="K350" s="21">
        <v>6067108</v>
      </c>
      <c r="L350" s="21">
        <v>8</v>
      </c>
      <c r="M350" s="21" t="s">
        <v>682</v>
      </c>
      <c r="N350" s="31" t="s">
        <v>966</v>
      </c>
      <c r="O350" s="31" t="s">
        <v>242</v>
      </c>
      <c r="P350" s="54">
        <v>46035</v>
      </c>
      <c r="Q350" s="40">
        <f t="shared" si="5"/>
        <v>1</v>
      </c>
      <c r="R350" s="40"/>
    </row>
    <row r="351" spans="1:18" x14ac:dyDescent="0.2">
      <c r="A351" s="17">
        <v>350</v>
      </c>
      <c r="B351" s="65" t="s">
        <v>12</v>
      </c>
      <c r="C351" s="21">
        <v>533</v>
      </c>
      <c r="D351" s="65" t="s">
        <v>924</v>
      </c>
      <c r="E351" s="21" t="s">
        <v>25</v>
      </c>
      <c r="F351" s="74" t="str">
        <f>IF(E351="","",VLOOKUP(E351,Causas!$A$2:$B$90,2,FALSE))</f>
        <v>Quema de basura residencial o desechos vegetales</v>
      </c>
      <c r="G351" s="70" t="str">
        <f>IF(E351="","",VLOOKUP(E351,Causas!$A$2:$D$90,3,FALSE()))</f>
        <v>4.8</v>
      </c>
      <c r="H351" s="74" t="str">
        <f>IF(E351="","",VLOOKUP(E351,Causas!$A$2:$D$90,4,FALSE()))</f>
        <v>Otras quemas</v>
      </c>
      <c r="I351" s="74" t="str">
        <f>IF(E351="","",VLOOKUP(E351,Causas!$A$2:$E$90,5,FALSE()))</f>
        <v>Negligentes</v>
      </c>
      <c r="J351" s="21">
        <v>252237</v>
      </c>
      <c r="K351" s="21">
        <v>6065489</v>
      </c>
      <c r="L351" s="21">
        <v>0.2</v>
      </c>
      <c r="M351" s="21" t="s">
        <v>682</v>
      </c>
      <c r="N351" s="31" t="s">
        <v>967</v>
      </c>
      <c r="O351" s="31" t="s">
        <v>242</v>
      </c>
      <c r="P351" s="54">
        <v>46071</v>
      </c>
      <c r="Q351" s="40">
        <f t="shared" si="5"/>
        <v>2</v>
      </c>
      <c r="R351" s="40"/>
    </row>
    <row r="352" spans="1:18" x14ac:dyDescent="0.2">
      <c r="A352" s="17">
        <v>351</v>
      </c>
      <c r="B352" s="65" t="s">
        <v>247</v>
      </c>
      <c r="C352" s="21">
        <v>424</v>
      </c>
      <c r="D352" s="65" t="s">
        <v>318</v>
      </c>
      <c r="E352" s="21" t="s">
        <v>47</v>
      </c>
      <c r="F352" s="74" t="str">
        <f>IF(E352="","",VLOOKUP(E352,Causas!$A$2:$B$90,2,FALSE))</f>
        <v>Partículas incandescentes  generadas por roce de maquinaria o herramienta agrícola con rocas, cercos o material metálico</v>
      </c>
      <c r="G352" s="70" t="str">
        <f>IF(E352="","",VLOOKUP(E352,Causas!$A$2:$D$90,3,FALSE()))</f>
        <v>1.2</v>
      </c>
      <c r="H352" s="74" t="str">
        <f>IF(E352="","",VLOOKUP(E352,Causas!$A$2:$D$90,4,FALSE()))</f>
        <v>Faenas agrícolas y pecuarias</v>
      </c>
      <c r="I352" s="74" t="str">
        <f>IF(E352="","",VLOOKUP(E352,Causas!$A$2:$E$90,5,FALSE()))</f>
        <v>Accidentales</v>
      </c>
      <c r="J352" s="21">
        <v>266619</v>
      </c>
      <c r="K352" s="21">
        <v>6007901</v>
      </c>
      <c r="L352" s="21">
        <v>3.2</v>
      </c>
      <c r="M352" s="21" t="s">
        <v>682</v>
      </c>
      <c r="N352" s="31" t="s">
        <v>968</v>
      </c>
      <c r="O352" s="31" t="s">
        <v>248</v>
      </c>
      <c r="P352" s="54">
        <v>46046</v>
      </c>
      <c r="Q352" s="40">
        <f t="shared" si="5"/>
        <v>1</v>
      </c>
      <c r="R352" s="40"/>
    </row>
    <row r="353" spans="1:18" x14ac:dyDescent="0.2">
      <c r="A353" s="17">
        <v>352</v>
      </c>
      <c r="B353" s="65" t="s">
        <v>247</v>
      </c>
      <c r="C353" s="21">
        <v>349</v>
      </c>
      <c r="D353" s="65" t="s">
        <v>925</v>
      </c>
      <c r="E353" s="21" t="s">
        <v>189</v>
      </c>
      <c r="F353" s="74" t="str">
        <f>IF(E353="","",VLOOKUP(E353,Causas!$A$2:$B$90,2,FALSE))</f>
        <v>Combustión de la vegetación, producto del contacto o proximidad con el tendido eléctrico</v>
      </c>
      <c r="G353" s="70" t="str">
        <f>IF(E353="","",VLOOKUP(E353,Causas!$A$2:$D$90,3,FALSE()))</f>
        <v>4.9</v>
      </c>
      <c r="H353" s="74" t="str">
        <f>IF(E353="","",VLOOKUP(E353,Causas!$A$2:$D$90,4,FALSE()))</f>
        <v>Líneas eléctricas</v>
      </c>
      <c r="I353" s="74" t="str">
        <f>IF(E353="","",VLOOKUP(E353,Causas!$A$2:$E$90,5,FALSE()))</f>
        <v>Negligentes</v>
      </c>
      <c r="J353" s="21">
        <v>261477</v>
      </c>
      <c r="K353" s="21">
        <v>6007207</v>
      </c>
      <c r="L353" s="21">
        <v>0.3</v>
      </c>
      <c r="M353" s="21" t="s">
        <v>682</v>
      </c>
      <c r="N353" s="31" t="s">
        <v>969</v>
      </c>
      <c r="O353" s="31" t="s">
        <v>248</v>
      </c>
      <c r="P353" s="54">
        <v>46033</v>
      </c>
      <c r="Q353" s="40">
        <f t="shared" si="5"/>
        <v>1</v>
      </c>
      <c r="R353" s="40"/>
    </row>
    <row r="354" spans="1:18" s="22" customFormat="1" x14ac:dyDescent="0.2">
      <c r="A354" s="17">
        <v>353</v>
      </c>
      <c r="B354" s="65" t="s">
        <v>247</v>
      </c>
      <c r="C354" s="21">
        <v>147</v>
      </c>
      <c r="D354" s="65" t="s">
        <v>926</v>
      </c>
      <c r="E354" s="21" t="s">
        <v>14</v>
      </c>
      <c r="F354" s="74" t="str">
        <f>IF(E354="","",VLOOKUP(E354,Causas!$A$2:$B$90,2,FALSE))</f>
        <v>Quema no avisada con fines de limpieza en canales, cunetas, cercos o caminos (en predios particulares o públicos) que se propaga libre y sin control</v>
      </c>
      <c r="G354" s="70" t="str">
        <f>IF(E354="","",VLOOKUP(E354,Causas!$A$2:$D$90,3,FALSE()))</f>
        <v>4.8</v>
      </c>
      <c r="H354" s="74" t="str">
        <f>IF(E354="","",VLOOKUP(E354,Causas!$A$2:$D$90,4,FALSE()))</f>
        <v>Otras quemas</v>
      </c>
      <c r="I354" s="74" t="str">
        <f>IF(E354="","",VLOOKUP(E354,Causas!$A$2:$E$90,5,FALSE()))</f>
        <v>Negligentes</v>
      </c>
      <c r="J354" s="21">
        <v>262079</v>
      </c>
      <c r="K354" s="21">
        <v>6023219</v>
      </c>
      <c r="L354" s="21">
        <v>0.3</v>
      </c>
      <c r="M354" s="21" t="s">
        <v>682</v>
      </c>
      <c r="N354" s="31" t="s">
        <v>970</v>
      </c>
      <c r="O354" s="31" t="s">
        <v>248</v>
      </c>
      <c r="P354" s="54">
        <v>45992</v>
      </c>
      <c r="Q354" s="40">
        <f t="shared" si="5"/>
        <v>12</v>
      </c>
      <c r="R354" s="40"/>
    </row>
    <row r="355" spans="1:18" x14ac:dyDescent="0.2">
      <c r="A355" s="17">
        <v>354</v>
      </c>
      <c r="B355" s="65" t="s">
        <v>12</v>
      </c>
      <c r="C355" s="21">
        <v>668</v>
      </c>
      <c r="D355" s="65" t="s">
        <v>927</v>
      </c>
      <c r="E355" s="21" t="s">
        <v>165</v>
      </c>
      <c r="F355" s="74" t="str">
        <f>IF(E355="","",VLOOKUP(E355,Causas!$A$2:$B$90,2,FALSE))</f>
        <v>Generado por el uso de equipos o herramientas con fines de construcción, limpieza o montaje de estructuras</v>
      </c>
      <c r="G355" s="70" t="str">
        <f>IF(E355="","",VLOOKUP(E355,Causas!$A$2:$D$90,3,FALSE()))</f>
        <v>4.6</v>
      </c>
      <c r="H355" s="74" t="str">
        <f>IF(E355="","",VLOOKUP(E355,Causas!$A$2:$D$90,4,FALSE()))</f>
        <v>Parcelaciones, edificaciones residenciales, industriales u otras en zonas rurales o de interfaz</v>
      </c>
      <c r="I355" s="74" t="str">
        <f>IF(E355="","",VLOOKUP(E355,Causas!$A$2:$E$90,5,FALSE()))</f>
        <v>Negligentes</v>
      </c>
      <c r="J355" s="21">
        <v>251859</v>
      </c>
      <c r="K355" s="21">
        <v>6063402</v>
      </c>
      <c r="L355" s="21">
        <v>0.19</v>
      </c>
      <c r="M355" s="21" t="s">
        <v>682</v>
      </c>
      <c r="N355" s="31" t="s">
        <v>971</v>
      </c>
      <c r="O355" s="31" t="s">
        <v>242</v>
      </c>
      <c r="P355" s="53">
        <v>46136</v>
      </c>
      <c r="Q355" s="40">
        <f t="shared" si="5"/>
        <v>4</v>
      </c>
      <c r="R355" s="40"/>
    </row>
    <row r="356" spans="1:18" x14ac:dyDescent="0.2">
      <c r="A356" s="17">
        <v>355</v>
      </c>
      <c r="B356" s="65" t="s">
        <v>254</v>
      </c>
      <c r="C356" s="21">
        <v>160</v>
      </c>
      <c r="D356" s="65" t="s">
        <v>972</v>
      </c>
      <c r="E356" s="21" t="s">
        <v>198</v>
      </c>
      <c r="F356" s="74" t="str">
        <f>IF(E356="","",VLOOKUP(E356,Causas!$A$2:$B$90,2,FALSE))</f>
        <v>Otras causas eléctricas negligentes no  clasificadas</v>
      </c>
      <c r="G356" s="70" t="str">
        <f>IF(E356="","",VLOOKUP(E356,Causas!$A$2:$D$90,3,FALSE()))</f>
        <v>4.9</v>
      </c>
      <c r="H356" s="74" t="str">
        <f>IF(E356="","",VLOOKUP(E356,Causas!$A$2:$D$90,4,FALSE()))</f>
        <v>Líneas eléctricas</v>
      </c>
      <c r="I356" s="74" t="str">
        <f>IF(E356="","",VLOOKUP(E356,Causas!$A$2:$E$90,5,FALSE()))</f>
        <v>Negligentes</v>
      </c>
      <c r="J356" s="21">
        <v>249604</v>
      </c>
      <c r="K356" s="21">
        <v>6055878</v>
      </c>
      <c r="L356" s="21">
        <v>0.03</v>
      </c>
      <c r="M356" s="21" t="s">
        <v>981</v>
      </c>
      <c r="N356" s="31" t="s">
        <v>982</v>
      </c>
      <c r="O356" s="31" t="s">
        <v>248</v>
      </c>
      <c r="P356" s="53">
        <v>45994</v>
      </c>
      <c r="Q356" s="40">
        <f t="shared" si="5"/>
        <v>12</v>
      </c>
      <c r="R356" s="40"/>
    </row>
    <row r="357" spans="1:18" x14ac:dyDescent="0.2">
      <c r="A357" s="17">
        <v>356</v>
      </c>
      <c r="B357" s="65" t="s">
        <v>272</v>
      </c>
      <c r="C357" s="21">
        <v>242</v>
      </c>
      <c r="D357" s="65" t="s">
        <v>973</v>
      </c>
      <c r="E357" s="21" t="s">
        <v>209</v>
      </c>
      <c r="F357" s="74" t="str">
        <f>IF(E357="","",VLOOKUP(E357,Causas!$A$2:$B$90,2,FALSE))</f>
        <v>Empleo de fuentes de calor por menores de edad</v>
      </c>
      <c r="G357" s="70" t="str">
        <f>IF(E357="","",VLOOKUP(E357,Causas!$A$2:$D$90,3,FALSE()))</f>
        <v>4.10</v>
      </c>
      <c r="H357" s="74" t="str">
        <f>IF(E357="","",VLOOKUP(E357,Causas!$A$2:$D$90,4,FALSE()))</f>
        <v>Otras causas</v>
      </c>
      <c r="I357" s="74" t="str">
        <f>IF(E357="","",VLOOKUP(E357,Causas!$A$2:$E$90,5,FALSE()))</f>
        <v>Negligentes</v>
      </c>
      <c r="J357" s="21">
        <v>252325</v>
      </c>
      <c r="K357" s="21">
        <v>6049046</v>
      </c>
      <c r="L357" s="21">
        <v>0.7</v>
      </c>
      <c r="M357" s="21" t="s">
        <v>981</v>
      </c>
      <c r="N357" s="31" t="s">
        <v>983</v>
      </c>
      <c r="O357" s="31" t="s">
        <v>248</v>
      </c>
      <c r="P357" s="53">
        <v>46010</v>
      </c>
      <c r="Q357" s="40">
        <f t="shared" si="5"/>
        <v>12</v>
      </c>
      <c r="R357" s="40"/>
    </row>
    <row r="358" spans="1:18" x14ac:dyDescent="0.2">
      <c r="A358" s="17">
        <v>357</v>
      </c>
      <c r="B358" s="65" t="s">
        <v>12</v>
      </c>
      <c r="C358" s="21">
        <v>525</v>
      </c>
      <c r="D358" s="65" t="s">
        <v>974</v>
      </c>
      <c r="E358" s="21" t="s">
        <v>150</v>
      </c>
      <c r="F358" s="74" t="str">
        <f>IF(E358="","",VLOOKUP(E358,Causas!$A$2:$B$90,2,FALSE))</f>
        <v>Empleo de fuentes de calor en áreas no habilitadas, como fogatas para cocinar, cocinillas, calefacción, elementos para iluminar u otros.</v>
      </c>
      <c r="G358" s="70" t="str">
        <f>IF(E358="","",VLOOKUP(E358,Causas!$A$2:$D$90,3,FALSE()))</f>
        <v>4.3</v>
      </c>
      <c r="H358" s="74" t="str">
        <f>IF(E358="","",VLOOKUP(E358,Causas!$A$2:$D$90,4,FALSE()))</f>
        <v>Actividades al aire libre (camping, excursiones, caza, pesca, otros)</v>
      </c>
      <c r="I358" s="74" t="str">
        <f>IF(E358="","",VLOOKUP(E358,Causas!$A$2:$E$90,5,FALSE()))</f>
        <v>Negligentes</v>
      </c>
      <c r="J358" s="21">
        <v>254138</v>
      </c>
      <c r="K358" s="21">
        <v>6064461</v>
      </c>
      <c r="L358" s="21">
        <v>0.2</v>
      </c>
      <c r="M358" s="21" t="s">
        <v>981</v>
      </c>
      <c r="N358" s="31" t="s">
        <v>984</v>
      </c>
      <c r="O358" s="31" t="s">
        <v>242</v>
      </c>
      <c r="P358" s="53">
        <v>46068</v>
      </c>
      <c r="Q358" s="40">
        <f t="shared" si="5"/>
        <v>2</v>
      </c>
      <c r="R358" s="40"/>
    </row>
    <row r="359" spans="1:18" x14ac:dyDescent="0.2">
      <c r="A359" s="17">
        <v>358</v>
      </c>
      <c r="B359" s="65" t="s">
        <v>256</v>
      </c>
      <c r="C359" s="21">
        <v>283</v>
      </c>
      <c r="D359" s="65" t="s">
        <v>975</v>
      </c>
      <c r="E359" s="21" t="s">
        <v>21</v>
      </c>
      <c r="F359" s="74" t="str">
        <f>IF(E359="","",VLOOKUP(E359,Causas!$A$2:$B$90,2,FALSE))</f>
        <v>Empleo de fuentes de calor en actividades relacionadas a parcelaciones (asados, tijerales, fogatas, otros)</v>
      </c>
      <c r="G359" s="70" t="str">
        <f>IF(E359="","",VLOOKUP(E359,Causas!$A$2:$D$90,3,FALSE()))</f>
        <v>4.6</v>
      </c>
      <c r="H359" s="74" t="str">
        <f>IF(E359="","",VLOOKUP(E359,Causas!$A$2:$D$90,4,FALSE()))</f>
        <v>Parcelaciones, edificaciones residenciales, industriales u otras en zonas rurales o de interfaz</v>
      </c>
      <c r="I359" s="74" t="str">
        <f>IF(E359="","",VLOOKUP(E359,Causas!$A$2:$E$90,5,FALSE()))</f>
        <v>Negligentes</v>
      </c>
      <c r="J359" s="21">
        <v>278464</v>
      </c>
      <c r="K359" s="21">
        <v>6099290</v>
      </c>
      <c r="L359" s="21">
        <v>0.5</v>
      </c>
      <c r="M359" s="21" t="s">
        <v>981</v>
      </c>
      <c r="N359" s="31" t="s">
        <v>985</v>
      </c>
      <c r="O359" s="31" t="s">
        <v>242</v>
      </c>
      <c r="P359" s="54">
        <v>46017</v>
      </c>
      <c r="Q359" s="40">
        <f t="shared" si="5"/>
        <v>12</v>
      </c>
      <c r="R359" s="40"/>
    </row>
    <row r="360" spans="1:18" x14ac:dyDescent="0.2">
      <c r="A360" s="17">
        <v>359</v>
      </c>
      <c r="B360" s="65" t="s">
        <v>256</v>
      </c>
      <c r="C360" s="21">
        <v>243</v>
      </c>
      <c r="D360" s="65" t="s">
        <v>504</v>
      </c>
      <c r="E360" s="21" t="s">
        <v>148</v>
      </c>
      <c r="F360" s="74" t="str">
        <f>IF(E360="","",VLOOKUP(E360,Causas!$A$2:$B$90,2,FALSE))</f>
        <v>Otras causas negligentes no clasificadas en faenas agrícolas y pecuarias</v>
      </c>
      <c r="G360" s="70" t="str">
        <f>IF(E360="","",VLOOKUP(E360,Causas!$A$2:$D$90,3,FALSE()))</f>
        <v>4.2</v>
      </c>
      <c r="H360" s="74" t="str">
        <f>IF(E360="","",VLOOKUP(E360,Causas!$A$2:$D$90,4,FALSE()))</f>
        <v>Faenas agrícolas y pecuarias</v>
      </c>
      <c r="I360" s="74" t="str">
        <f>IF(E360="","",VLOOKUP(E360,Causas!$A$2:$E$90,5,FALSE()))</f>
        <v>Negligentes</v>
      </c>
      <c r="J360" s="21">
        <v>278433</v>
      </c>
      <c r="K360" s="21">
        <v>6099767</v>
      </c>
      <c r="L360" s="21">
        <v>0.3</v>
      </c>
      <c r="M360" s="21" t="s">
        <v>981</v>
      </c>
      <c r="N360" s="31" t="s">
        <v>986</v>
      </c>
      <c r="O360" s="31" t="s">
        <v>242</v>
      </c>
      <c r="P360" s="54">
        <v>46010</v>
      </c>
      <c r="Q360" s="40">
        <f t="shared" si="5"/>
        <v>12</v>
      </c>
      <c r="R360" s="40"/>
    </row>
    <row r="361" spans="1:18" x14ac:dyDescent="0.2">
      <c r="A361" s="17">
        <v>360</v>
      </c>
      <c r="B361" s="65" t="s">
        <v>257</v>
      </c>
      <c r="C361" s="21">
        <v>476</v>
      </c>
      <c r="D361" s="65" t="s">
        <v>976</v>
      </c>
      <c r="E361" s="21" t="s">
        <v>93</v>
      </c>
      <c r="F361" s="74" t="str">
        <f>IF(E361="","",VLOOKUP(E361,Causas!$A$2:$B$90,2,FALSE))</f>
        <v>Provocado, no se identifica la motivación</v>
      </c>
      <c r="G361" s="70" t="str">
        <f>IF(E361="","",VLOOKUP(E361,Causas!$A$2:$D$90,3,FALSE()))</f>
        <v>2.1</v>
      </c>
      <c r="H361" s="74" t="str">
        <f>IF(E361="","",VLOOKUP(E361,Causas!$A$2:$D$90,4,FALSE()))</f>
        <v>Incendios intencionales</v>
      </c>
      <c r="I361" s="74" t="str">
        <f>IF(E361="","",VLOOKUP(E361,Causas!$A$2:$E$90,5,FALSE()))</f>
        <v>Intencionales</v>
      </c>
      <c r="J361" s="21">
        <v>277541</v>
      </c>
      <c r="K361" s="21">
        <v>6098646</v>
      </c>
      <c r="L361" s="21">
        <v>9.5</v>
      </c>
      <c r="M361" s="21" t="s">
        <v>981</v>
      </c>
      <c r="N361" s="31" t="s">
        <v>987</v>
      </c>
      <c r="O361" s="31" t="s">
        <v>242</v>
      </c>
      <c r="P361" s="53">
        <v>46059</v>
      </c>
      <c r="Q361" s="40">
        <f t="shared" si="5"/>
        <v>2</v>
      </c>
      <c r="R361" s="40"/>
    </row>
    <row r="362" spans="1:18" x14ac:dyDescent="0.2">
      <c r="A362" s="17">
        <v>361</v>
      </c>
      <c r="B362" s="65" t="s">
        <v>257</v>
      </c>
      <c r="C362" s="21">
        <v>480</v>
      </c>
      <c r="D362" s="65" t="s">
        <v>977</v>
      </c>
      <c r="E362" s="21" t="s">
        <v>160</v>
      </c>
      <c r="F362" s="74" t="str">
        <f>IF(E362="","",VLOOKUP(E362,Causas!$A$2:$B$90,2,FALSE))</f>
        <v>Rebrote de incendio anterior, declarado extinto</v>
      </c>
      <c r="G362" s="70" t="str">
        <f>IF(E362="","",VLOOKUP(E362,Causas!$A$2:$D$90,3,FALSE()))</f>
        <v>4.5</v>
      </c>
      <c r="H362" s="74" t="str">
        <f>IF(E362="","",VLOOKUP(E362,Causas!$A$2:$D$90,4,FALSE()))</f>
        <v>Actividades de control y extinción de incendios forestales</v>
      </c>
      <c r="I362" s="74" t="str">
        <f>IF(E362="","",VLOOKUP(E362,Causas!$A$2:$E$90,5,FALSE()))</f>
        <v>Negligentes</v>
      </c>
      <c r="J362" s="21">
        <v>277711</v>
      </c>
      <c r="K362" s="21">
        <v>6098820</v>
      </c>
      <c r="L362" s="21">
        <v>10</v>
      </c>
      <c r="M362" s="21" t="s">
        <v>981</v>
      </c>
      <c r="N362" s="31" t="s">
        <v>988</v>
      </c>
      <c r="O362" s="31" t="s">
        <v>242</v>
      </c>
      <c r="P362" s="53">
        <v>46059</v>
      </c>
      <c r="Q362" s="40">
        <f t="shared" si="5"/>
        <v>2</v>
      </c>
      <c r="R362" s="40"/>
    </row>
    <row r="363" spans="1:18" x14ac:dyDescent="0.2">
      <c r="A363" s="17">
        <v>362</v>
      </c>
      <c r="B363" s="65" t="s">
        <v>12</v>
      </c>
      <c r="C363" s="21">
        <v>501</v>
      </c>
      <c r="D363" s="65" t="s">
        <v>978</v>
      </c>
      <c r="E363" s="21" t="s">
        <v>14</v>
      </c>
      <c r="F363" s="74" t="str">
        <f>IF(E363="","",VLOOKUP(E363,Causas!$A$2:$B$90,2,FALSE))</f>
        <v>Quema no avisada con fines de limpieza en canales, cunetas, cercos o caminos (en predios particulares o públicos) que se propaga libre y sin control</v>
      </c>
      <c r="G363" s="70" t="str">
        <f>IF(E363="","",VLOOKUP(E363,Causas!$A$2:$D$90,3,FALSE()))</f>
        <v>4.8</v>
      </c>
      <c r="H363" s="74" t="str">
        <f>IF(E363="","",VLOOKUP(E363,Causas!$A$2:$D$90,4,FALSE()))</f>
        <v>Otras quemas</v>
      </c>
      <c r="I363" s="74" t="str">
        <f>IF(E363="","",VLOOKUP(E363,Causas!$A$2:$E$90,5,FALSE()))</f>
        <v>Negligentes</v>
      </c>
      <c r="J363" s="21">
        <v>259939</v>
      </c>
      <c r="K363" s="21">
        <v>6070055</v>
      </c>
      <c r="L363" s="21">
        <v>0.4</v>
      </c>
      <c r="M363" s="21" t="s">
        <v>981</v>
      </c>
      <c r="N363" s="31" t="s">
        <v>989</v>
      </c>
      <c r="O363" s="31" t="s">
        <v>242</v>
      </c>
      <c r="P363" s="53">
        <v>46064</v>
      </c>
      <c r="Q363" s="40">
        <f t="shared" si="5"/>
        <v>2</v>
      </c>
      <c r="R363" s="40"/>
    </row>
    <row r="364" spans="1:18" x14ac:dyDescent="0.2">
      <c r="A364" s="17">
        <v>363</v>
      </c>
      <c r="B364" s="65" t="s">
        <v>258</v>
      </c>
      <c r="C364" s="21">
        <v>500</v>
      </c>
      <c r="D364" s="65" t="s">
        <v>979</v>
      </c>
      <c r="E364" s="21" t="s">
        <v>140</v>
      </c>
      <c r="F364" s="74" t="str">
        <f>IF(E364="","",VLOOKUP(E364,Causas!$A$2:$B$90,2,FALSE))</f>
        <v>Partícula incandescente generada sin roce por vehículo, maquinaria o herramienta agrícola</v>
      </c>
      <c r="G364" s="70" t="str">
        <f>IF(E364="","",VLOOKUP(E364,Causas!$A$2:$D$90,3,FALSE()))</f>
        <v>4.2</v>
      </c>
      <c r="H364" s="74" t="str">
        <f>IF(E364="","",VLOOKUP(E364,Causas!$A$2:$D$90,4,FALSE()))</f>
        <v>Faenas agrícolas y pecuarias</v>
      </c>
      <c r="I364" s="74" t="str">
        <f>IF(E364="","",VLOOKUP(E364,Causas!$A$2:$E$90,5,FALSE()))</f>
        <v>Negligentes</v>
      </c>
      <c r="J364" s="21">
        <v>251758</v>
      </c>
      <c r="K364" s="21">
        <v>6010480</v>
      </c>
      <c r="L364" s="21">
        <v>7.2</v>
      </c>
      <c r="M364" s="21" t="s">
        <v>981</v>
      </c>
      <c r="N364" s="31" t="s">
        <v>990</v>
      </c>
      <c r="O364" s="31" t="s">
        <v>248</v>
      </c>
      <c r="P364" s="53">
        <v>46064</v>
      </c>
      <c r="Q364" s="40">
        <f t="shared" si="5"/>
        <v>2</v>
      </c>
      <c r="R364" s="40"/>
    </row>
    <row r="365" spans="1:18" x14ac:dyDescent="0.2">
      <c r="A365" s="17">
        <v>364</v>
      </c>
      <c r="B365" s="65" t="s">
        <v>258</v>
      </c>
      <c r="C365" s="21">
        <v>652</v>
      </c>
      <c r="D365" s="65" t="s">
        <v>980</v>
      </c>
      <c r="E365" s="21" t="s">
        <v>134</v>
      </c>
      <c r="F365" s="74" t="str">
        <f>IF(E365="","",VLOOKUP(E365,Causas!$A$2:$B$90,2,FALSE))</f>
        <v>Quema no avisada de desechos agrícolas que se propaga libre y sin control</v>
      </c>
      <c r="G365" s="70" t="str">
        <f>IF(E365="","",VLOOKUP(E365,Causas!$A$2:$D$90,3,FALSE()))</f>
        <v>4.2</v>
      </c>
      <c r="H365" s="74" t="str">
        <f>IF(E365="","",VLOOKUP(E365,Causas!$A$2:$D$90,4,FALSE()))</f>
        <v>Faenas agrícolas y pecuarias</v>
      </c>
      <c r="I365" s="74" t="str">
        <f>IF(E365="","",VLOOKUP(E365,Causas!$A$2:$E$90,5,FALSE()))</f>
        <v>Negligentes</v>
      </c>
      <c r="J365" s="21">
        <v>249064</v>
      </c>
      <c r="K365" s="21">
        <v>6016317</v>
      </c>
      <c r="L365" s="21">
        <v>0.9</v>
      </c>
      <c r="M365" s="21" t="s">
        <v>981</v>
      </c>
      <c r="N365" s="31" t="s">
        <v>991</v>
      </c>
      <c r="O365" s="31" t="s">
        <v>248</v>
      </c>
      <c r="P365" s="53">
        <v>46117</v>
      </c>
      <c r="Q365" s="40">
        <f t="shared" si="5"/>
        <v>4</v>
      </c>
      <c r="R365" s="40"/>
    </row>
    <row r="366" spans="1:18" x14ac:dyDescent="0.2">
      <c r="A366" s="17">
        <v>365</v>
      </c>
      <c r="B366" s="65" t="s">
        <v>12</v>
      </c>
      <c r="C366" s="21">
        <v>528</v>
      </c>
      <c r="D366" s="65" t="s">
        <v>992</v>
      </c>
      <c r="E366" s="21" t="s">
        <v>25</v>
      </c>
      <c r="F366" s="74" t="str">
        <f>IF(E366="","",VLOOKUP(E366,Causas!$A$2:$B$90,2,FALSE))</f>
        <v>Quema de basura residencial o desechos vegetales</v>
      </c>
      <c r="G366" s="70" t="str">
        <f>IF(E366="","",VLOOKUP(E366,Causas!$A$2:$D$90,3,FALSE()))</f>
        <v>4.8</v>
      </c>
      <c r="H366" s="74" t="str">
        <f>IF(E366="","",VLOOKUP(E366,Causas!$A$2:$D$90,4,FALSE()))</f>
        <v>Otras quemas</v>
      </c>
      <c r="I366" s="74" t="str">
        <f>IF(E366="","",VLOOKUP(E366,Causas!$A$2:$E$90,5,FALSE()))</f>
        <v>Negligentes</v>
      </c>
      <c r="J366" s="21">
        <v>249844</v>
      </c>
      <c r="K366" s="21">
        <v>6063985</v>
      </c>
      <c r="L366" s="21">
        <v>0.2</v>
      </c>
      <c r="M366" s="21" t="s">
        <v>981</v>
      </c>
      <c r="N366" s="31" t="s">
        <v>1010</v>
      </c>
      <c r="O366" s="31" t="s">
        <v>242</v>
      </c>
      <c r="P366" s="54">
        <v>46070</v>
      </c>
      <c r="Q366" s="40">
        <f t="shared" si="5"/>
        <v>2</v>
      </c>
      <c r="R366" s="40"/>
    </row>
    <row r="367" spans="1:18" x14ac:dyDescent="0.2">
      <c r="A367" s="17">
        <v>366</v>
      </c>
      <c r="B367" s="65" t="s">
        <v>12</v>
      </c>
      <c r="C367" s="21">
        <v>228</v>
      </c>
      <c r="D367" s="65" t="s">
        <v>993</v>
      </c>
      <c r="E367" s="21" t="s">
        <v>20</v>
      </c>
      <c r="F367" s="74" t="str">
        <f>IF(E367="","",VLOOKUP(E367,Causas!$A$2:$B$90,2,FALSE))</f>
        <v>Empleo de fuentes de calor en faena de extracción y/o confección de leña no industrial</v>
      </c>
      <c r="G367" s="70" t="str">
        <f>IF(E367="","",VLOOKUP(E367,Causas!$A$2:$D$90,3,FALSE()))</f>
        <v>4.11</v>
      </c>
      <c r="H367" s="74" t="str">
        <f>IF(E367="","",VLOOKUP(E367,Causas!$A$2:$D$90,4,FALSE()))</f>
        <v>Producción y/o extracción de productos y/o derivados del bosque</v>
      </c>
      <c r="I367" s="74" t="str">
        <f>IF(E367="","",VLOOKUP(E367,Causas!$A$2:$E$90,5,FALSE()))</f>
        <v>Negligentes</v>
      </c>
      <c r="J367" s="21">
        <v>257922</v>
      </c>
      <c r="K367" s="21">
        <v>6067023</v>
      </c>
      <c r="L367" s="21">
        <v>0.1</v>
      </c>
      <c r="M367" s="21" t="s">
        <v>981</v>
      </c>
      <c r="N367" s="31" t="s">
        <v>1011</v>
      </c>
      <c r="O367" s="31" t="s">
        <v>242</v>
      </c>
      <c r="P367" s="54">
        <v>46373</v>
      </c>
      <c r="Q367" s="40">
        <f t="shared" si="5"/>
        <v>12</v>
      </c>
      <c r="R367" s="40"/>
    </row>
    <row r="368" spans="1:18" x14ac:dyDescent="0.2">
      <c r="A368" s="17">
        <v>367</v>
      </c>
      <c r="B368" s="65" t="s">
        <v>253</v>
      </c>
      <c r="C368" s="21">
        <v>332</v>
      </c>
      <c r="D368" s="65" t="s">
        <v>654</v>
      </c>
      <c r="E368" s="21" t="s">
        <v>207</v>
      </c>
      <c r="F368" s="74" t="str">
        <f>IF(E368="","",VLOOKUP(E368,Causas!$A$2:$B$90,2,FALSE))</f>
        <v>Acciones asociadas a fumar</v>
      </c>
      <c r="G368" s="70" t="str">
        <f>IF(E368="","",VLOOKUP(E368,Causas!$A$2:$D$90,3,FALSE()))</f>
        <v>4.10</v>
      </c>
      <c r="H368" s="74" t="str">
        <f>IF(E368="","",VLOOKUP(E368,Causas!$A$2:$D$90,4,FALSE()))</f>
        <v>Otras causas</v>
      </c>
      <c r="I368" s="74" t="str">
        <f>IF(E368="","",VLOOKUP(E368,Causas!$A$2:$E$90,5,FALSE()))</f>
        <v>Negligentes</v>
      </c>
      <c r="J368" s="21">
        <v>296801</v>
      </c>
      <c r="K368" s="21">
        <v>6124409</v>
      </c>
      <c r="L368" s="21">
        <v>0.2</v>
      </c>
      <c r="M368" s="21" t="s">
        <v>981</v>
      </c>
      <c r="N368" s="31" t="s">
        <v>1012</v>
      </c>
      <c r="O368" s="31" t="s">
        <v>253</v>
      </c>
      <c r="P368" s="54">
        <v>46031</v>
      </c>
      <c r="Q368" s="40">
        <f t="shared" si="5"/>
        <v>1</v>
      </c>
      <c r="R368" s="40"/>
    </row>
    <row r="369" spans="1:18" x14ac:dyDescent="0.2">
      <c r="A369" s="17">
        <v>368</v>
      </c>
      <c r="B369" s="65" t="s">
        <v>253</v>
      </c>
      <c r="C369" s="21">
        <v>240</v>
      </c>
      <c r="D369" s="65" t="s">
        <v>994</v>
      </c>
      <c r="E369" s="21" t="s">
        <v>207</v>
      </c>
      <c r="F369" s="74" t="str">
        <f>IF(E369="","",VLOOKUP(E369,Causas!$A$2:$B$90,2,FALSE))</f>
        <v>Acciones asociadas a fumar</v>
      </c>
      <c r="G369" s="70" t="str">
        <f>IF(E369="","",VLOOKUP(E369,Causas!$A$2:$D$90,3,FALSE()))</f>
        <v>4.10</v>
      </c>
      <c r="H369" s="74" t="str">
        <f>IF(E369="","",VLOOKUP(E369,Causas!$A$2:$D$90,4,FALSE()))</f>
        <v>Otras causas</v>
      </c>
      <c r="I369" s="74" t="str">
        <f>IF(E369="","",VLOOKUP(E369,Causas!$A$2:$E$90,5,FALSE()))</f>
        <v>Negligentes</v>
      </c>
      <c r="J369" s="21">
        <v>301898</v>
      </c>
      <c r="K369" s="21">
        <v>6126471</v>
      </c>
      <c r="L369" s="21">
        <v>9.5</v>
      </c>
      <c r="M369" s="21" t="s">
        <v>981</v>
      </c>
      <c r="N369" s="31" t="s">
        <v>1013</v>
      </c>
      <c r="O369" s="31" t="s">
        <v>253</v>
      </c>
      <c r="P369" s="54">
        <v>46010</v>
      </c>
      <c r="Q369" s="40">
        <f t="shared" si="5"/>
        <v>12</v>
      </c>
      <c r="R369" s="40"/>
    </row>
    <row r="370" spans="1:18" x14ac:dyDescent="0.2">
      <c r="A370" s="17">
        <v>369</v>
      </c>
      <c r="B370" s="65" t="s">
        <v>242</v>
      </c>
      <c r="C370" s="21">
        <v>461</v>
      </c>
      <c r="D370" s="65" t="s">
        <v>995</v>
      </c>
      <c r="E370" s="21" t="s">
        <v>14</v>
      </c>
      <c r="F370" s="74" t="str">
        <f>IF(E370="","",VLOOKUP(E370,Causas!$A$2:$B$90,2,FALSE))</f>
        <v>Quema no avisada con fines de limpieza en canales, cunetas, cercos o caminos (en predios particulares o públicos) que se propaga libre y sin control</v>
      </c>
      <c r="G370" s="70" t="str">
        <f>IF(E370="","",VLOOKUP(E370,Causas!$A$2:$D$90,3,FALSE()))</f>
        <v>4.8</v>
      </c>
      <c r="H370" s="74" t="str">
        <f>IF(E370="","",VLOOKUP(E370,Causas!$A$2:$D$90,4,FALSE()))</f>
        <v>Otras quemas</v>
      </c>
      <c r="I370" s="74" t="str">
        <f>IF(E370="","",VLOOKUP(E370,Causas!$A$2:$E$90,5,FALSE()))</f>
        <v>Negligentes</v>
      </c>
      <c r="J370" s="21">
        <v>259279</v>
      </c>
      <c r="K370" s="21">
        <v>6073467</v>
      </c>
      <c r="L370" s="21">
        <v>0.9</v>
      </c>
      <c r="M370" s="21" t="s">
        <v>981</v>
      </c>
      <c r="N370" s="31" t="s">
        <v>1014</v>
      </c>
      <c r="O370" s="31" t="s">
        <v>242</v>
      </c>
      <c r="P370" s="54">
        <v>46054</v>
      </c>
      <c r="Q370" s="40">
        <f t="shared" si="5"/>
        <v>2</v>
      </c>
      <c r="R370" s="40"/>
    </row>
    <row r="371" spans="1:18" x14ac:dyDescent="0.2">
      <c r="A371" s="17">
        <v>370</v>
      </c>
      <c r="B371" s="65" t="s">
        <v>12</v>
      </c>
      <c r="C371" s="21">
        <v>185</v>
      </c>
      <c r="D371" s="65" t="s">
        <v>996</v>
      </c>
      <c r="E371" s="21" t="s">
        <v>25</v>
      </c>
      <c r="F371" s="74" t="str">
        <f>IF(E371="","",VLOOKUP(E371,Causas!$A$2:$B$90,2,FALSE))</f>
        <v>Quema de basura residencial o desechos vegetales</v>
      </c>
      <c r="G371" s="70" t="str">
        <f>IF(E371="","",VLOOKUP(E371,Causas!$A$2:$D$90,3,FALSE()))</f>
        <v>4.8</v>
      </c>
      <c r="H371" s="74" t="str">
        <f>IF(E371="","",VLOOKUP(E371,Causas!$A$2:$D$90,4,FALSE()))</f>
        <v>Otras quemas</v>
      </c>
      <c r="I371" s="74" t="str">
        <f>IF(E371="","",VLOOKUP(E371,Causas!$A$2:$E$90,5,FALSE()))</f>
        <v>Negligentes</v>
      </c>
      <c r="J371" s="21">
        <v>258714</v>
      </c>
      <c r="K371" s="21">
        <v>6071766</v>
      </c>
      <c r="L371" s="21">
        <v>0.8</v>
      </c>
      <c r="M371" s="21" t="s">
        <v>981</v>
      </c>
      <c r="N371" s="31" t="s">
        <v>1015</v>
      </c>
      <c r="O371" s="31" t="s">
        <v>242</v>
      </c>
      <c r="P371" s="53">
        <v>45999</v>
      </c>
      <c r="Q371" s="40">
        <f t="shared" si="5"/>
        <v>12</v>
      </c>
      <c r="R371" s="40"/>
    </row>
    <row r="372" spans="1:18" x14ac:dyDescent="0.2">
      <c r="A372" s="17">
        <v>371</v>
      </c>
      <c r="B372" s="65" t="s">
        <v>12</v>
      </c>
      <c r="C372" s="21">
        <v>337</v>
      </c>
      <c r="D372" s="65" t="s">
        <v>997</v>
      </c>
      <c r="E372" s="21" t="s">
        <v>25</v>
      </c>
      <c r="F372" s="74" t="str">
        <f>IF(E372="","",VLOOKUP(E372,Causas!$A$2:$B$90,2,FALSE))</f>
        <v>Quema de basura residencial o desechos vegetales</v>
      </c>
      <c r="G372" s="70" t="str">
        <f>IF(E372="","",VLOOKUP(E372,Causas!$A$2:$D$90,3,FALSE()))</f>
        <v>4.8</v>
      </c>
      <c r="H372" s="74" t="str">
        <f>IF(E372="","",VLOOKUP(E372,Causas!$A$2:$D$90,4,FALSE()))</f>
        <v>Otras quemas</v>
      </c>
      <c r="I372" s="74" t="str">
        <f>IF(E372="","",VLOOKUP(E372,Causas!$A$2:$E$90,5,FALSE()))</f>
        <v>Negligentes</v>
      </c>
      <c r="J372" s="21">
        <v>258930</v>
      </c>
      <c r="K372" s="21">
        <v>6071982</v>
      </c>
      <c r="L372" s="21">
        <v>0.3</v>
      </c>
      <c r="M372" s="21" t="s">
        <v>981</v>
      </c>
      <c r="N372" s="31" t="s">
        <v>1016</v>
      </c>
      <c r="O372" s="31" t="s">
        <v>242</v>
      </c>
      <c r="P372" s="54">
        <v>46032</v>
      </c>
      <c r="Q372" s="40">
        <f t="shared" si="5"/>
        <v>1</v>
      </c>
      <c r="R372" s="40"/>
    </row>
    <row r="373" spans="1:18" x14ac:dyDescent="0.2">
      <c r="A373" s="17">
        <v>372</v>
      </c>
      <c r="B373" s="65" t="s">
        <v>12</v>
      </c>
      <c r="C373" s="21">
        <v>130</v>
      </c>
      <c r="D373" s="65" t="s">
        <v>913</v>
      </c>
      <c r="E373" s="21" t="s">
        <v>167</v>
      </c>
      <c r="F373" s="74" t="str">
        <f>IF(E373="","",VLOOKUP(E373,Causas!$A$2:$B$90,2,FALSE))</f>
        <v>Generado por conexión  irregular de energía eléctrica</v>
      </c>
      <c r="G373" s="70" t="str">
        <f>IF(E373="","",VLOOKUP(E373,Causas!$A$2:$D$90,3,FALSE()))</f>
        <v>4.6</v>
      </c>
      <c r="H373" s="74" t="str">
        <f>IF(E373="","",VLOOKUP(E373,Causas!$A$2:$D$90,4,FALSE()))</f>
        <v>Parcelaciones, edificaciones residenciales, industriales u otras en zonas rurales o de interfaz</v>
      </c>
      <c r="I373" s="74" t="str">
        <f>IF(E373="","",VLOOKUP(E373,Causas!$A$2:$E$90,5,FALSE()))</f>
        <v>Negligentes</v>
      </c>
      <c r="J373" s="21">
        <v>252005</v>
      </c>
      <c r="K373" s="21">
        <v>6064659</v>
      </c>
      <c r="L373" s="21">
        <v>0.1</v>
      </c>
      <c r="M373" s="21" t="s">
        <v>981</v>
      </c>
      <c r="N373" s="31" t="s">
        <v>1017</v>
      </c>
      <c r="O373" s="31" t="s">
        <v>242</v>
      </c>
      <c r="P373" s="53">
        <v>45988</v>
      </c>
      <c r="Q373" s="40">
        <f t="shared" si="5"/>
        <v>11</v>
      </c>
      <c r="R373" s="40"/>
    </row>
    <row r="374" spans="1:18" x14ac:dyDescent="0.2">
      <c r="A374" s="17">
        <v>373</v>
      </c>
      <c r="B374" s="65" t="s">
        <v>12</v>
      </c>
      <c r="C374" s="21">
        <v>274</v>
      </c>
      <c r="D374" s="65" t="s">
        <v>998</v>
      </c>
      <c r="E374" s="21" t="s">
        <v>196</v>
      </c>
      <c r="F374" s="74" t="str">
        <f>IF(E374="","",VLOOKUP(E374,Causas!$A$2:$B$90,2,FALSE))</f>
        <v>Sobrecalentamiento de estructuras asociados al sistema eléctrico (poste, transformador, uniones, aisladores, otros)</v>
      </c>
      <c r="G374" s="70" t="str">
        <f>IF(E374="","",VLOOKUP(E374,Causas!$A$2:$D$90,3,FALSE()))</f>
        <v>4.9</v>
      </c>
      <c r="H374" s="74" t="str">
        <f>IF(E374="","",VLOOKUP(E374,Causas!$A$2:$D$90,4,FALSE()))</f>
        <v>Líneas eléctricas</v>
      </c>
      <c r="I374" s="74" t="str">
        <f>IF(E374="","",VLOOKUP(E374,Causas!$A$2:$E$90,5,FALSE()))</f>
        <v>Negligentes</v>
      </c>
      <c r="J374" s="21">
        <v>251691</v>
      </c>
      <c r="K374" s="21">
        <v>6062613</v>
      </c>
      <c r="L374" s="21">
        <v>2.6</v>
      </c>
      <c r="M374" s="21" t="s">
        <v>981</v>
      </c>
      <c r="N374" s="31" t="s">
        <v>1018</v>
      </c>
      <c r="O374" s="31" t="s">
        <v>242</v>
      </c>
      <c r="P374" s="53">
        <v>46016</v>
      </c>
      <c r="Q374" s="40">
        <f t="shared" si="5"/>
        <v>12</v>
      </c>
      <c r="R374" s="40"/>
    </row>
    <row r="375" spans="1:18" x14ac:dyDescent="0.2">
      <c r="A375" s="17">
        <v>374</v>
      </c>
      <c r="B375" s="65" t="s">
        <v>12</v>
      </c>
      <c r="C375" s="21">
        <v>285</v>
      </c>
      <c r="D375" s="65" t="s">
        <v>999</v>
      </c>
      <c r="E375" s="21" t="s">
        <v>196</v>
      </c>
      <c r="F375" s="74" t="str">
        <f>IF(E375="","",VLOOKUP(E375,Causas!$A$2:$B$90,2,FALSE))</f>
        <v>Sobrecalentamiento de estructuras asociados al sistema eléctrico (poste, transformador, uniones, aisladores, otros)</v>
      </c>
      <c r="G375" s="70" t="str">
        <f>IF(E375="","",VLOOKUP(E375,Causas!$A$2:$D$90,3,FALSE()))</f>
        <v>4.9</v>
      </c>
      <c r="H375" s="74" t="str">
        <f>IF(E375="","",VLOOKUP(E375,Causas!$A$2:$D$90,4,FALSE()))</f>
        <v>Líneas eléctricas</v>
      </c>
      <c r="I375" s="74" t="str">
        <f>IF(E375="","",VLOOKUP(E375,Causas!$A$2:$E$90,5,FALSE()))</f>
        <v>Negligentes</v>
      </c>
      <c r="J375" s="21">
        <v>251091</v>
      </c>
      <c r="K375" s="21">
        <v>6062550</v>
      </c>
      <c r="L375" s="21">
        <v>0.1</v>
      </c>
      <c r="M375" s="21" t="s">
        <v>981</v>
      </c>
      <c r="N375" s="31" t="s">
        <v>1019</v>
      </c>
      <c r="O375" s="31" t="s">
        <v>242</v>
      </c>
      <c r="P375" s="54">
        <v>46018</v>
      </c>
      <c r="Q375" s="40">
        <f t="shared" si="5"/>
        <v>12</v>
      </c>
      <c r="R375" s="40"/>
    </row>
    <row r="376" spans="1:18" x14ac:dyDescent="0.2">
      <c r="A376" s="17">
        <v>375</v>
      </c>
      <c r="B376" s="65" t="s">
        <v>12</v>
      </c>
      <c r="C376" s="21">
        <v>138</v>
      </c>
      <c r="D376" s="65" t="s">
        <v>424</v>
      </c>
      <c r="E376" s="21" t="s">
        <v>16</v>
      </c>
      <c r="F376" s="74" t="str">
        <f>IF(E376="","",VLOOKUP(E376,Causas!$A$2:$B$90,2,FALSE))</f>
        <v>Quema no avisada de desechos forestales que se propaga libre y sin control</v>
      </c>
      <c r="G376" s="70" t="str">
        <f>IF(E376="","",VLOOKUP(E376,Causas!$A$2:$D$90,3,FALSE()))</f>
        <v>4.1</v>
      </c>
      <c r="H376" s="74" t="str">
        <f>IF(E376="","",VLOOKUP(E376,Causas!$A$2:$D$90,4,FALSE()))</f>
        <v>Faenas forestales</v>
      </c>
      <c r="I376" s="74" t="str">
        <f>IF(E376="","",VLOOKUP(E376,Causas!$A$2:$E$90,5,FALSE()))</f>
        <v>Negligentes</v>
      </c>
      <c r="J376" s="21">
        <v>250139</v>
      </c>
      <c r="K376" s="21">
        <v>6071900</v>
      </c>
      <c r="L376" s="21">
        <v>0.9</v>
      </c>
      <c r="M376" s="21" t="s">
        <v>981</v>
      </c>
      <c r="N376" s="31" t="s">
        <v>1020</v>
      </c>
      <c r="O376" s="31" t="s">
        <v>242</v>
      </c>
      <c r="P376" s="53">
        <v>45989</v>
      </c>
      <c r="Q376" s="40">
        <f t="shared" si="5"/>
        <v>11</v>
      </c>
      <c r="R376" s="40"/>
    </row>
    <row r="377" spans="1:18" x14ac:dyDescent="0.2">
      <c r="A377" s="17">
        <v>376</v>
      </c>
      <c r="B377" s="65" t="s">
        <v>12</v>
      </c>
      <c r="C377" s="21">
        <v>526</v>
      </c>
      <c r="D377" s="65" t="s">
        <v>1000</v>
      </c>
      <c r="E377" s="21" t="s">
        <v>93</v>
      </c>
      <c r="F377" s="74" t="str">
        <f>IF(E377="","",VLOOKUP(E377,Causas!$A$2:$B$90,2,FALSE))</f>
        <v>Provocado, no se identifica la motivación</v>
      </c>
      <c r="G377" s="70" t="str">
        <f>IF(E377="","",VLOOKUP(E377,Causas!$A$2:$D$90,3,FALSE()))</f>
        <v>2.1</v>
      </c>
      <c r="H377" s="74" t="str">
        <f>IF(E377="","",VLOOKUP(E377,Causas!$A$2:$D$90,4,FALSE()))</f>
        <v>Incendios intencionales</v>
      </c>
      <c r="I377" s="74" t="str">
        <f>IF(E377="","",VLOOKUP(E377,Causas!$A$2:$E$90,5,FALSE()))</f>
        <v>Intencionales</v>
      </c>
      <c r="J377" s="21">
        <v>248261</v>
      </c>
      <c r="K377" s="21">
        <v>6070706</v>
      </c>
      <c r="L377" s="21">
        <v>0.9</v>
      </c>
      <c r="M377" s="21" t="s">
        <v>981</v>
      </c>
      <c r="N377" s="31" t="s">
        <v>1021</v>
      </c>
      <c r="O377" s="31" t="s">
        <v>242</v>
      </c>
      <c r="P377" s="53">
        <v>46068</v>
      </c>
      <c r="Q377" s="40">
        <f t="shared" si="5"/>
        <v>2</v>
      </c>
      <c r="R377" s="40"/>
    </row>
    <row r="378" spans="1:18" x14ac:dyDescent="0.2">
      <c r="A378" s="17">
        <v>377</v>
      </c>
      <c r="B378" s="65" t="s">
        <v>253</v>
      </c>
      <c r="C378" s="21">
        <v>170</v>
      </c>
      <c r="D378" s="65" t="s">
        <v>1001</v>
      </c>
      <c r="E378" s="21" t="s">
        <v>148</v>
      </c>
      <c r="F378" s="74" t="str">
        <f>IF(E378="","",VLOOKUP(E378,Causas!$A$2:$B$90,2,FALSE))</f>
        <v>Otras causas negligentes no clasificadas en faenas agrícolas y pecuarias</v>
      </c>
      <c r="G378" s="70" t="str">
        <f>IF(E378="","",VLOOKUP(E378,Causas!$A$2:$D$90,3,FALSE()))</f>
        <v>4.2</v>
      </c>
      <c r="H378" s="74" t="str">
        <f>IF(E378="","",VLOOKUP(E378,Causas!$A$2:$D$90,4,FALSE()))</f>
        <v>Faenas agrícolas y pecuarias</v>
      </c>
      <c r="I378" s="74" t="str">
        <f>IF(E378="","",VLOOKUP(E378,Causas!$A$2:$E$90,5,FALSE()))</f>
        <v>Negligentes</v>
      </c>
      <c r="J378" s="21">
        <v>302455</v>
      </c>
      <c r="K378" s="21">
        <v>6120580</v>
      </c>
      <c r="L378" s="21">
        <v>3</v>
      </c>
      <c r="M378" s="21" t="s">
        <v>981</v>
      </c>
      <c r="N378" s="31" t="s">
        <v>1022</v>
      </c>
      <c r="O378" s="31" t="s">
        <v>253</v>
      </c>
      <c r="P378" s="53">
        <v>46361</v>
      </c>
      <c r="Q378" s="40">
        <f t="shared" si="5"/>
        <v>12</v>
      </c>
      <c r="R378" s="40"/>
    </row>
    <row r="379" spans="1:18" x14ac:dyDescent="0.2">
      <c r="A379" s="17">
        <v>378</v>
      </c>
      <c r="B379" s="65" t="s">
        <v>253</v>
      </c>
      <c r="C379" s="21">
        <v>221</v>
      </c>
      <c r="D379" s="65" t="s">
        <v>1002</v>
      </c>
      <c r="E379" s="21" t="s">
        <v>223</v>
      </c>
      <c r="F379" s="74" t="str">
        <f>IF(E379="","",VLOOKUP(E379,Causas!$A$2:$B$90,2,FALSE))</f>
        <v>Otras actividades negligentes no clasificadas</v>
      </c>
      <c r="G379" s="70" t="str">
        <f>IF(E379="","",VLOOKUP(E379,Causas!$A$2:$D$90,3,FALSE()))</f>
        <v>4.10</v>
      </c>
      <c r="H379" s="74" t="str">
        <f>IF(E379="","",VLOOKUP(E379,Causas!$A$2:$D$90,4,FALSE()))</f>
        <v>Otras causas</v>
      </c>
      <c r="I379" s="74" t="str">
        <f>IF(E379="","",VLOOKUP(E379,Causas!$A$2:$E$90,5,FALSE()))</f>
        <v>Negligentes</v>
      </c>
      <c r="J379" s="21">
        <v>301559</v>
      </c>
      <c r="K379" s="21">
        <v>6127784</v>
      </c>
      <c r="L379" s="21">
        <v>8.6999999999999993</v>
      </c>
      <c r="M379" s="21" t="s">
        <v>981</v>
      </c>
      <c r="N379" s="31" t="s">
        <v>1023</v>
      </c>
      <c r="O379" s="31" t="s">
        <v>253</v>
      </c>
      <c r="P379" s="54">
        <v>46372</v>
      </c>
      <c r="Q379" s="40">
        <f t="shared" si="5"/>
        <v>12</v>
      </c>
      <c r="R379" s="40"/>
    </row>
    <row r="380" spans="1:18" x14ac:dyDescent="0.2">
      <c r="A380" s="17">
        <v>379</v>
      </c>
      <c r="B380" s="65" t="s">
        <v>246</v>
      </c>
      <c r="C380" s="21">
        <v>373</v>
      </c>
      <c r="D380" s="65" t="s">
        <v>1003</v>
      </c>
      <c r="E380" s="21" t="s">
        <v>140</v>
      </c>
      <c r="F380" s="74" t="str">
        <f>IF(E380="","",VLOOKUP(E380,Causas!$A$2:$B$90,2,FALSE))</f>
        <v>Partícula incandescente generada sin roce por vehículo, maquinaria o herramienta agrícola</v>
      </c>
      <c r="G380" s="70" t="str">
        <f>IF(E380="","",VLOOKUP(E380,Causas!$A$2:$D$90,3,FALSE()))</f>
        <v>4.2</v>
      </c>
      <c r="H380" s="74" t="str">
        <f>IF(E380="","",VLOOKUP(E380,Causas!$A$2:$D$90,4,FALSE()))</f>
        <v>Faenas agrícolas y pecuarias</v>
      </c>
      <c r="I380" s="74" t="str">
        <f>IF(E380="","",VLOOKUP(E380,Causas!$A$2:$E$90,5,FALSE()))</f>
        <v>Negligentes</v>
      </c>
      <c r="J380" s="21">
        <v>293940</v>
      </c>
      <c r="K380" s="21">
        <v>6119011</v>
      </c>
      <c r="L380" s="21">
        <v>1.6</v>
      </c>
      <c r="M380" s="21" t="s">
        <v>981</v>
      </c>
      <c r="N380" s="31" t="s">
        <v>1024</v>
      </c>
      <c r="O380" s="31" t="s">
        <v>253</v>
      </c>
      <c r="P380" s="54">
        <v>46036</v>
      </c>
      <c r="Q380" s="40">
        <f t="shared" si="5"/>
        <v>1</v>
      </c>
      <c r="R380" s="40"/>
    </row>
    <row r="381" spans="1:18" x14ac:dyDescent="0.2">
      <c r="A381" s="17">
        <v>380</v>
      </c>
      <c r="B381" s="65" t="s">
        <v>15</v>
      </c>
      <c r="C381" s="21">
        <v>675</v>
      </c>
      <c r="D381" s="65" t="s">
        <v>1004</v>
      </c>
      <c r="E381" s="21" t="s">
        <v>144</v>
      </c>
      <c r="F381" s="74" t="str">
        <f>IF(E381="","",VLOOKUP(E381,Causas!$A$2:$B$90,2,FALSE))</f>
        <v>Quema avisada de desechos agrícolas  mal ejecutada que se propaga libre y sin control (según plan de quema y/o aviso de quemas)</v>
      </c>
      <c r="G381" s="70" t="str">
        <f>IF(E381="","",VLOOKUP(E381,Causas!$A$2:$D$90,3,FALSE()))</f>
        <v>4.2</v>
      </c>
      <c r="H381" s="74" t="str">
        <f>IF(E381="","",VLOOKUP(E381,Causas!$A$2:$D$90,4,FALSE()))</f>
        <v>Faenas agrícolas y pecuarias</v>
      </c>
      <c r="I381" s="74" t="str">
        <f>IF(E381="","",VLOOKUP(E381,Causas!$A$2:$E$90,5,FALSE()))</f>
        <v>Negligentes</v>
      </c>
      <c r="J381" s="21">
        <v>727076</v>
      </c>
      <c r="K381" s="21">
        <v>6059939</v>
      </c>
      <c r="L381" s="21">
        <v>1.1000000000000001</v>
      </c>
      <c r="M381" s="21" t="s">
        <v>981</v>
      </c>
      <c r="N381" s="31" t="s">
        <v>1025</v>
      </c>
      <c r="O381" s="31" t="s">
        <v>241</v>
      </c>
      <c r="P381" s="54">
        <v>46140</v>
      </c>
      <c r="Q381" s="40">
        <f t="shared" si="5"/>
        <v>4</v>
      </c>
      <c r="R381" s="40"/>
    </row>
    <row r="382" spans="1:18" x14ac:dyDescent="0.2">
      <c r="A382" s="17">
        <v>381</v>
      </c>
      <c r="B382" s="65" t="s">
        <v>15</v>
      </c>
      <c r="C382" s="21">
        <v>514</v>
      </c>
      <c r="D382" s="65" t="s">
        <v>1005</v>
      </c>
      <c r="E382" s="21" t="s">
        <v>25</v>
      </c>
      <c r="F382" s="74" t="str">
        <f>IF(E382="","",VLOOKUP(E382,Causas!$A$2:$B$90,2,FALSE))</f>
        <v>Quema de basura residencial o desechos vegetales</v>
      </c>
      <c r="G382" s="70" t="str">
        <f>IF(E382="","",VLOOKUP(E382,Causas!$A$2:$D$90,3,FALSE()))</f>
        <v>4.8</v>
      </c>
      <c r="H382" s="74" t="str">
        <f>IF(E382="","",VLOOKUP(E382,Causas!$A$2:$D$90,4,FALSE()))</f>
        <v>Otras quemas</v>
      </c>
      <c r="I382" s="74" t="str">
        <f>IF(E382="","",VLOOKUP(E382,Causas!$A$2:$E$90,5,FALSE()))</f>
        <v>Negligentes</v>
      </c>
      <c r="J382" s="21">
        <v>723328</v>
      </c>
      <c r="K382" s="21">
        <v>6042850</v>
      </c>
      <c r="L382" s="21">
        <v>0.26</v>
      </c>
      <c r="M382" s="21" t="s">
        <v>981</v>
      </c>
      <c r="N382" s="31" t="s">
        <v>1026</v>
      </c>
      <c r="O382" s="31" t="s">
        <v>241</v>
      </c>
      <c r="P382" s="53">
        <v>46066</v>
      </c>
      <c r="Q382" s="40">
        <f t="shared" si="5"/>
        <v>2</v>
      </c>
      <c r="R382" s="40"/>
    </row>
    <row r="383" spans="1:18" x14ac:dyDescent="0.2">
      <c r="A383" s="17">
        <v>382</v>
      </c>
      <c r="B383" s="65" t="s">
        <v>253</v>
      </c>
      <c r="C383" s="21">
        <v>73</v>
      </c>
      <c r="D383" s="65" t="s">
        <v>1006</v>
      </c>
      <c r="E383" s="21" t="s">
        <v>134</v>
      </c>
      <c r="F383" s="74" t="str">
        <f>IF(E383="","",VLOOKUP(E383,Causas!$A$2:$B$90,2,FALSE))</f>
        <v>Quema no avisada de desechos agrícolas que se propaga libre y sin control</v>
      </c>
      <c r="G383" s="70" t="str">
        <f>IF(E383="","",VLOOKUP(E383,Causas!$A$2:$D$90,3,FALSE()))</f>
        <v>4.2</v>
      </c>
      <c r="H383" s="74" t="str">
        <f>IF(E383="","",VLOOKUP(E383,Causas!$A$2:$D$90,4,FALSE()))</f>
        <v>Faenas agrícolas y pecuarias</v>
      </c>
      <c r="I383" s="74" t="str">
        <f>IF(E383="","",VLOOKUP(E383,Causas!$A$2:$E$90,5,FALSE()))</f>
        <v>Negligentes</v>
      </c>
      <c r="J383" s="21">
        <v>290593</v>
      </c>
      <c r="K383" s="21">
        <v>6130150</v>
      </c>
      <c r="L383" s="21">
        <v>4.3</v>
      </c>
      <c r="M383" s="21" t="s">
        <v>981</v>
      </c>
      <c r="N383" s="31" t="s">
        <v>1027</v>
      </c>
      <c r="O383" s="31" t="s">
        <v>253</v>
      </c>
      <c r="P383" s="54">
        <v>46338</v>
      </c>
      <c r="Q383" s="40">
        <f t="shared" si="5"/>
        <v>11</v>
      </c>
      <c r="R383" s="40"/>
    </row>
    <row r="384" spans="1:18" x14ac:dyDescent="0.2">
      <c r="A384" s="17">
        <v>383</v>
      </c>
      <c r="B384" s="65" t="s">
        <v>263</v>
      </c>
      <c r="C384" s="21">
        <v>162</v>
      </c>
      <c r="D384" s="65" t="s">
        <v>1007</v>
      </c>
      <c r="E384" s="21" t="s">
        <v>207</v>
      </c>
      <c r="F384" s="74" t="str">
        <f>IF(E384="","",VLOOKUP(E384,Causas!$A$2:$B$90,2,FALSE))</f>
        <v>Acciones asociadas a fumar</v>
      </c>
      <c r="G384" s="70" t="str">
        <f>IF(E384="","",VLOOKUP(E384,Causas!$A$2:$D$90,3,FALSE()))</f>
        <v>4.10</v>
      </c>
      <c r="H384" s="74" t="str">
        <f>IF(E384="","",VLOOKUP(E384,Causas!$A$2:$D$90,4,FALSE()))</f>
        <v>Otras causas</v>
      </c>
      <c r="I384" s="74" t="str">
        <f>IF(E384="","",VLOOKUP(E384,Causas!$A$2:$E$90,5,FALSE()))</f>
        <v>Negligentes</v>
      </c>
      <c r="J384" s="21">
        <v>282504</v>
      </c>
      <c r="K384" s="21">
        <v>6127230</v>
      </c>
      <c r="L384" s="21">
        <v>5.5</v>
      </c>
      <c r="M384" s="21" t="s">
        <v>981</v>
      </c>
      <c r="N384" s="31" t="s">
        <v>1028</v>
      </c>
      <c r="O384" s="31" t="s">
        <v>253</v>
      </c>
      <c r="P384" s="54">
        <v>45995</v>
      </c>
      <c r="Q384" s="40">
        <f t="shared" si="5"/>
        <v>12</v>
      </c>
      <c r="R384" s="40"/>
    </row>
    <row r="385" spans="1:18" x14ac:dyDescent="0.2">
      <c r="A385" s="17">
        <v>384</v>
      </c>
      <c r="B385" s="65" t="s">
        <v>256</v>
      </c>
      <c r="C385" s="21">
        <v>262</v>
      </c>
      <c r="D385" s="65" t="s">
        <v>1008</v>
      </c>
      <c r="E385" s="21" t="s">
        <v>93</v>
      </c>
      <c r="F385" s="74" t="str">
        <f>IF(E385="","",VLOOKUP(E385,Causas!$A$2:$B$90,2,FALSE))</f>
        <v>Provocado, no se identifica la motivación</v>
      </c>
      <c r="G385" s="70" t="str">
        <f>IF(E385="","",VLOOKUP(E385,Causas!$A$2:$D$90,3,FALSE()))</f>
        <v>2.1</v>
      </c>
      <c r="H385" s="74" t="str">
        <f>IF(E385="","",VLOOKUP(E385,Causas!$A$2:$D$90,4,FALSE()))</f>
        <v>Incendios intencionales</v>
      </c>
      <c r="I385" s="74" t="str">
        <f>IF(E385="","",VLOOKUP(E385,Causas!$A$2:$E$90,5,FALSE()))</f>
        <v>Intencionales</v>
      </c>
      <c r="J385" s="21">
        <v>284599</v>
      </c>
      <c r="K385" s="21">
        <v>6107922</v>
      </c>
      <c r="L385" s="21">
        <v>5</v>
      </c>
      <c r="M385" s="21" t="s">
        <v>981</v>
      </c>
      <c r="N385" s="31" t="s">
        <v>1029</v>
      </c>
      <c r="O385" s="31" t="s">
        <v>242</v>
      </c>
      <c r="P385" s="53">
        <v>46380</v>
      </c>
      <c r="Q385" s="40">
        <f t="shared" si="5"/>
        <v>12</v>
      </c>
      <c r="R385" s="40"/>
    </row>
    <row r="386" spans="1:18" x14ac:dyDescent="0.2">
      <c r="A386" s="17">
        <v>385</v>
      </c>
      <c r="B386" s="65" t="s">
        <v>256</v>
      </c>
      <c r="C386" s="21">
        <v>315</v>
      </c>
      <c r="D386" s="65" t="s">
        <v>1009</v>
      </c>
      <c r="E386" s="21" t="s">
        <v>14</v>
      </c>
      <c r="F386" s="74" t="str">
        <f>IF(E386="","",VLOOKUP(E386,Causas!$A$2:$B$90,2,FALSE))</f>
        <v>Quema no avisada con fines de limpieza en canales, cunetas, cercos o caminos (en predios particulares o públicos) que se propaga libre y sin control</v>
      </c>
      <c r="G386" s="70" t="str">
        <f>IF(E386="","",VLOOKUP(E386,Causas!$A$2:$D$90,3,FALSE()))</f>
        <v>4.8</v>
      </c>
      <c r="H386" s="74" t="str">
        <f>IF(E386="","",VLOOKUP(E386,Causas!$A$2:$D$90,4,FALSE()))</f>
        <v>Otras quemas</v>
      </c>
      <c r="I386" s="74" t="str">
        <f>IF(E386="","",VLOOKUP(E386,Causas!$A$2:$E$90,5,FALSE()))</f>
        <v>Negligentes</v>
      </c>
      <c r="J386" s="21">
        <v>285083</v>
      </c>
      <c r="K386" s="21">
        <v>6107393</v>
      </c>
      <c r="L386" s="21">
        <v>4</v>
      </c>
      <c r="M386" s="21" t="s">
        <v>981</v>
      </c>
      <c r="N386" s="31" t="s">
        <v>1030</v>
      </c>
      <c r="O386" s="31" t="s">
        <v>242</v>
      </c>
      <c r="P386" s="54">
        <v>46024</v>
      </c>
      <c r="Q386" s="40">
        <f t="shared" si="5"/>
        <v>1</v>
      </c>
      <c r="R386" s="40"/>
    </row>
    <row r="387" spans="1:18" x14ac:dyDescent="0.2">
      <c r="A387" s="15"/>
      <c r="B387" s="66"/>
      <c r="C387" s="1"/>
      <c r="D387" s="66"/>
      <c r="E387" s="1"/>
      <c r="F387" s="66"/>
      <c r="G387" s="66"/>
      <c r="H387" s="66"/>
      <c r="I387" s="66"/>
      <c r="J387" s="1"/>
      <c r="K387" s="1"/>
      <c r="L387" s="1"/>
      <c r="M387" s="1"/>
      <c r="N387" s="9"/>
      <c r="O387" s="9"/>
      <c r="P387" s="9"/>
      <c r="Q387" s="1"/>
      <c r="R387" s="1"/>
    </row>
    <row r="388" spans="1:18" x14ac:dyDescent="0.2">
      <c r="A388" s="15"/>
      <c r="B388" s="66"/>
      <c r="C388" s="1"/>
      <c r="D388" s="66"/>
      <c r="E388" s="1"/>
      <c r="F388" s="66"/>
      <c r="G388" s="66"/>
      <c r="H388" s="66"/>
      <c r="I388" s="66"/>
      <c r="J388" s="1"/>
      <c r="K388" s="1"/>
      <c r="L388" s="1"/>
      <c r="M388" s="1"/>
      <c r="N388" s="9"/>
      <c r="O388" s="9"/>
      <c r="P388" s="9"/>
      <c r="Q388" s="1"/>
      <c r="R388" s="1"/>
    </row>
    <row r="389" spans="1:18" x14ac:dyDescent="0.2">
      <c r="A389" s="15"/>
      <c r="B389" s="66"/>
      <c r="C389" s="1"/>
      <c r="D389" s="66"/>
      <c r="E389" s="1"/>
      <c r="F389" s="66"/>
      <c r="G389" s="66"/>
      <c r="H389" s="66"/>
      <c r="I389" s="66"/>
      <c r="J389" s="1"/>
      <c r="K389" s="1"/>
      <c r="L389" s="1"/>
      <c r="M389" s="1"/>
      <c r="N389" s="9"/>
      <c r="O389" s="9"/>
      <c r="P389" s="9"/>
      <c r="Q389" s="1"/>
      <c r="R389" s="1"/>
    </row>
    <row r="390" spans="1:18" x14ac:dyDescent="0.2">
      <c r="A390" s="15"/>
      <c r="B390" s="66"/>
      <c r="C390" s="1"/>
      <c r="D390" s="66"/>
      <c r="E390" s="1"/>
      <c r="F390" s="66"/>
      <c r="G390" s="66"/>
      <c r="H390" s="66"/>
      <c r="I390" s="66"/>
      <c r="J390" s="1"/>
      <c r="K390" s="1"/>
      <c r="L390" s="1"/>
      <c r="M390" s="1"/>
      <c r="N390" s="9"/>
      <c r="O390" s="9"/>
      <c r="P390" s="9"/>
      <c r="Q390" s="1"/>
      <c r="R390" s="1"/>
    </row>
    <row r="391" spans="1:18" x14ac:dyDescent="0.2">
      <c r="A391" s="15"/>
      <c r="B391" s="66"/>
      <c r="C391" s="1"/>
      <c r="D391" s="66"/>
      <c r="E391" s="1"/>
      <c r="F391" s="66"/>
      <c r="G391" s="66"/>
      <c r="H391" s="66"/>
      <c r="I391" s="66"/>
      <c r="J391" s="1"/>
      <c r="K391" s="1"/>
      <c r="L391" s="1"/>
      <c r="M391" s="1"/>
      <c r="N391" s="9"/>
      <c r="O391" s="9"/>
      <c r="P391" s="9"/>
      <c r="Q391" s="1"/>
      <c r="R391" s="1"/>
    </row>
    <row r="392" spans="1:18" x14ac:dyDescent="0.2">
      <c r="A392" s="15"/>
      <c r="B392" s="66"/>
      <c r="C392" s="1"/>
      <c r="D392" s="66"/>
      <c r="E392" s="1"/>
      <c r="F392" s="66"/>
      <c r="G392" s="66"/>
      <c r="H392" s="66"/>
      <c r="I392" s="66"/>
      <c r="J392" s="1"/>
      <c r="K392" s="1"/>
      <c r="L392" s="1"/>
      <c r="M392" s="1"/>
      <c r="N392" s="9"/>
      <c r="O392" s="9"/>
      <c r="P392" s="9"/>
      <c r="Q392" s="1"/>
      <c r="R392" s="1"/>
    </row>
    <row r="393" spans="1:18" x14ac:dyDescent="0.2">
      <c r="A393" s="15"/>
      <c r="B393" s="66"/>
      <c r="C393" s="1"/>
      <c r="D393" s="66"/>
      <c r="E393" s="1"/>
      <c r="F393" s="66"/>
      <c r="G393" s="66"/>
      <c r="H393" s="66"/>
      <c r="I393" s="66"/>
      <c r="J393" s="1"/>
      <c r="K393" s="1"/>
      <c r="L393" s="1"/>
      <c r="M393" s="1"/>
      <c r="N393" s="9"/>
      <c r="O393" s="9"/>
      <c r="P393" s="9"/>
      <c r="Q393" s="1"/>
      <c r="R393" s="1"/>
    </row>
    <row r="394" spans="1:18" x14ac:dyDescent="0.2">
      <c r="A394" s="15"/>
      <c r="B394" s="66"/>
      <c r="C394" s="1"/>
      <c r="D394" s="66"/>
      <c r="E394" s="1"/>
      <c r="F394" s="66"/>
      <c r="G394" s="66"/>
      <c r="H394" s="66"/>
      <c r="I394" s="66"/>
      <c r="J394" s="1"/>
      <c r="K394" s="1"/>
      <c r="L394" s="1"/>
      <c r="M394" s="1"/>
      <c r="N394" s="9"/>
      <c r="O394" s="9"/>
      <c r="P394" s="9"/>
      <c r="Q394" s="1"/>
      <c r="R394" s="1"/>
    </row>
    <row r="395" spans="1:18" x14ac:dyDescent="0.2">
      <c r="A395" s="15"/>
      <c r="B395" s="66"/>
      <c r="C395" s="1"/>
      <c r="D395" s="66"/>
      <c r="E395" s="1"/>
      <c r="F395" s="66"/>
      <c r="G395" s="66"/>
      <c r="H395" s="66"/>
      <c r="I395" s="66"/>
      <c r="J395" s="1"/>
      <c r="K395" s="1"/>
      <c r="L395" s="1"/>
      <c r="M395" s="1"/>
      <c r="N395" s="9"/>
      <c r="O395" s="9"/>
      <c r="P395" s="9"/>
      <c r="Q395" s="1"/>
      <c r="R395" s="1"/>
    </row>
    <row r="396" spans="1:18" x14ac:dyDescent="0.2">
      <c r="A396" s="15"/>
      <c r="B396" s="66"/>
      <c r="C396" s="1"/>
      <c r="D396" s="66"/>
      <c r="E396" s="1"/>
      <c r="F396" s="66"/>
      <c r="G396" s="66"/>
      <c r="H396" s="66"/>
      <c r="I396" s="66"/>
      <c r="J396" s="1"/>
      <c r="K396" s="1"/>
      <c r="L396" s="1"/>
      <c r="M396" s="1"/>
      <c r="N396" s="9"/>
      <c r="O396" s="9"/>
      <c r="P396" s="9"/>
      <c r="Q396" s="1"/>
      <c r="R396" s="1"/>
    </row>
    <row r="397" spans="1:18" x14ac:dyDescent="0.2">
      <c r="A397" s="15"/>
      <c r="B397" s="66"/>
      <c r="C397" s="1"/>
      <c r="D397" s="66"/>
      <c r="E397" s="1"/>
      <c r="F397" s="66"/>
      <c r="G397" s="66"/>
      <c r="H397" s="66"/>
      <c r="I397" s="66"/>
      <c r="J397" s="1"/>
      <c r="K397" s="1"/>
      <c r="L397" s="1"/>
      <c r="M397" s="1"/>
      <c r="N397" s="9"/>
      <c r="O397" s="9"/>
      <c r="P397" s="9"/>
      <c r="Q397" s="1"/>
      <c r="R397" s="1"/>
    </row>
    <row r="398" spans="1:18" x14ac:dyDescent="0.2">
      <c r="A398" s="15"/>
      <c r="B398" s="66"/>
      <c r="C398" s="1"/>
      <c r="D398" s="66"/>
      <c r="E398" s="1"/>
      <c r="F398" s="66"/>
      <c r="G398" s="66"/>
      <c r="H398" s="66"/>
      <c r="I398" s="66"/>
      <c r="J398" s="1"/>
      <c r="K398" s="1"/>
      <c r="L398" s="1"/>
      <c r="M398" s="1"/>
      <c r="N398" s="9"/>
      <c r="O398" s="9"/>
      <c r="P398" s="9"/>
      <c r="Q398" s="1"/>
      <c r="R398" s="1"/>
    </row>
    <row r="399" spans="1:18" x14ac:dyDescent="0.2">
      <c r="A399" s="15"/>
      <c r="B399" s="66"/>
      <c r="C399" s="1"/>
      <c r="D399" s="66"/>
      <c r="E399" s="1"/>
      <c r="F399" s="66"/>
      <c r="G399" s="66"/>
      <c r="H399" s="66"/>
      <c r="I399" s="66"/>
      <c r="J399" s="1"/>
      <c r="K399" s="1"/>
      <c r="L399" s="1"/>
      <c r="M399" s="1"/>
      <c r="N399" s="9"/>
      <c r="O399" s="9"/>
      <c r="P399" s="9"/>
      <c r="Q399" s="1"/>
      <c r="R399" s="1"/>
    </row>
    <row r="400" spans="1:18" x14ac:dyDescent="0.2">
      <c r="A400" s="15"/>
      <c r="B400" s="66"/>
      <c r="C400" s="1"/>
      <c r="D400" s="66"/>
      <c r="E400" s="1"/>
      <c r="F400" s="66"/>
      <c r="G400" s="66"/>
      <c r="H400" s="66"/>
      <c r="I400" s="66"/>
      <c r="J400" s="1"/>
      <c r="K400" s="1"/>
      <c r="L400" s="1"/>
      <c r="M400" s="1"/>
      <c r="N400" s="9"/>
      <c r="O400" s="9"/>
      <c r="P400" s="9"/>
      <c r="Q400" s="1"/>
      <c r="R400" s="1"/>
    </row>
    <row r="401" spans="1:18" x14ac:dyDescent="0.2">
      <c r="A401" s="15"/>
      <c r="B401" s="66"/>
      <c r="C401" s="1"/>
      <c r="D401" s="66"/>
      <c r="E401" s="1"/>
      <c r="F401" s="66"/>
      <c r="G401" s="66"/>
      <c r="H401" s="66"/>
      <c r="I401" s="66"/>
      <c r="J401" s="1"/>
      <c r="K401" s="1"/>
      <c r="L401" s="1"/>
      <c r="M401" s="1"/>
      <c r="N401" s="9"/>
      <c r="O401" s="9"/>
      <c r="P401" s="9"/>
      <c r="Q401" s="1"/>
      <c r="R401" s="1"/>
    </row>
    <row r="402" spans="1:18" x14ac:dyDescent="0.2">
      <c r="A402" s="15"/>
      <c r="B402" s="66"/>
      <c r="C402" s="1"/>
      <c r="D402" s="66"/>
      <c r="E402" s="1"/>
      <c r="F402" s="66"/>
      <c r="G402" s="66"/>
      <c r="H402" s="66"/>
      <c r="I402" s="66"/>
      <c r="J402" s="1"/>
      <c r="K402" s="1"/>
      <c r="L402" s="1"/>
      <c r="M402" s="1"/>
      <c r="N402" s="9"/>
      <c r="O402" s="9"/>
      <c r="P402" s="9"/>
      <c r="Q402" s="1"/>
      <c r="R402" s="1"/>
    </row>
    <row r="403" spans="1:18" x14ac:dyDescent="0.2">
      <c r="A403" s="15"/>
      <c r="B403" s="66"/>
      <c r="C403" s="1"/>
      <c r="D403" s="66"/>
      <c r="E403" s="1"/>
      <c r="F403" s="66"/>
      <c r="G403" s="66"/>
      <c r="H403" s="66"/>
      <c r="I403" s="66"/>
      <c r="J403" s="1"/>
      <c r="K403" s="1"/>
      <c r="L403" s="1"/>
      <c r="M403" s="1"/>
      <c r="N403" s="9"/>
      <c r="O403" s="9"/>
      <c r="P403" s="9"/>
      <c r="Q403" s="1"/>
      <c r="R403" s="1"/>
    </row>
    <row r="404" spans="1:18" x14ac:dyDescent="0.2">
      <c r="A404" s="15"/>
      <c r="B404" s="66"/>
      <c r="C404" s="1"/>
      <c r="D404" s="66"/>
      <c r="E404" s="1"/>
      <c r="F404" s="66"/>
      <c r="G404" s="66"/>
      <c r="H404" s="66"/>
      <c r="I404" s="66"/>
      <c r="J404" s="1"/>
      <c r="K404" s="1"/>
      <c r="L404" s="1"/>
      <c r="M404" s="1"/>
      <c r="N404" s="9"/>
      <c r="O404" s="9"/>
      <c r="P404" s="9"/>
      <c r="Q404" s="1"/>
      <c r="R404" s="1"/>
    </row>
    <row r="405" spans="1:18" x14ac:dyDescent="0.2">
      <c r="A405" s="15"/>
      <c r="B405" s="66"/>
      <c r="C405" s="1"/>
      <c r="D405" s="66"/>
      <c r="E405" s="1"/>
      <c r="F405" s="66"/>
      <c r="G405" s="66"/>
      <c r="H405" s="66"/>
      <c r="I405" s="66"/>
      <c r="J405" s="1"/>
      <c r="K405" s="1"/>
      <c r="L405" s="1"/>
      <c r="M405" s="1"/>
      <c r="N405" s="9"/>
      <c r="O405" s="9"/>
      <c r="P405" s="9"/>
      <c r="Q405" s="1"/>
      <c r="R405" s="1"/>
    </row>
    <row r="406" spans="1:18" x14ac:dyDescent="0.2">
      <c r="A406" s="15"/>
      <c r="B406" s="66"/>
      <c r="C406" s="1"/>
      <c r="D406" s="66"/>
      <c r="E406" s="1"/>
      <c r="F406" s="66"/>
      <c r="G406" s="66"/>
      <c r="H406" s="66"/>
      <c r="I406" s="66"/>
      <c r="J406" s="1"/>
      <c r="K406" s="1"/>
      <c r="L406" s="1"/>
      <c r="M406" s="1"/>
      <c r="N406" s="9"/>
      <c r="O406" s="9"/>
      <c r="P406" s="9"/>
      <c r="Q406" s="1"/>
      <c r="R406" s="1"/>
    </row>
    <row r="407" spans="1:18" x14ac:dyDescent="0.2">
      <c r="A407" s="15"/>
      <c r="B407" s="66"/>
      <c r="C407" s="1"/>
      <c r="D407" s="66"/>
      <c r="E407" s="1"/>
      <c r="F407" s="66"/>
      <c r="G407" s="66"/>
      <c r="H407" s="66"/>
      <c r="I407" s="66"/>
      <c r="J407" s="1"/>
      <c r="K407" s="1"/>
      <c r="L407" s="1"/>
      <c r="M407" s="1"/>
      <c r="N407" s="9"/>
      <c r="O407" s="9"/>
      <c r="P407" s="9"/>
      <c r="Q407" s="1"/>
      <c r="R407" s="1"/>
    </row>
    <row r="408" spans="1:18" x14ac:dyDescent="0.2">
      <c r="A408" s="15"/>
      <c r="B408" s="66"/>
      <c r="C408" s="1"/>
      <c r="D408" s="66"/>
      <c r="E408" s="1"/>
      <c r="F408" s="66"/>
      <c r="G408" s="66"/>
      <c r="H408" s="66"/>
      <c r="I408" s="66"/>
      <c r="J408" s="1"/>
      <c r="K408" s="1"/>
      <c r="L408" s="1"/>
      <c r="M408" s="1"/>
      <c r="N408" s="9"/>
      <c r="O408" s="9"/>
      <c r="P408" s="9"/>
      <c r="Q408" s="1"/>
      <c r="R408" s="1"/>
    </row>
    <row r="409" spans="1:18" x14ac:dyDescent="0.2">
      <c r="A409" s="15"/>
      <c r="B409" s="66"/>
      <c r="C409" s="1"/>
      <c r="D409" s="66"/>
      <c r="E409" s="1"/>
      <c r="F409" s="66"/>
      <c r="G409" s="66"/>
      <c r="H409" s="66"/>
      <c r="I409" s="66"/>
      <c r="J409" s="1"/>
      <c r="K409" s="1"/>
      <c r="L409" s="1"/>
      <c r="M409" s="1"/>
      <c r="N409" s="9"/>
      <c r="O409" s="9"/>
      <c r="P409" s="9"/>
      <c r="Q409" s="1"/>
      <c r="R409" s="1"/>
    </row>
    <row r="410" spans="1:18" x14ac:dyDescent="0.2">
      <c r="A410" s="15"/>
      <c r="B410" s="66"/>
      <c r="C410" s="1"/>
      <c r="D410" s="66"/>
      <c r="E410" s="1"/>
      <c r="F410" s="66"/>
      <c r="G410" s="66"/>
      <c r="H410" s="66"/>
      <c r="I410" s="66"/>
      <c r="J410" s="1"/>
      <c r="K410" s="1"/>
      <c r="L410" s="1"/>
      <c r="M410" s="1"/>
      <c r="N410" s="9"/>
      <c r="O410" s="9"/>
      <c r="P410" s="9"/>
      <c r="Q410" s="1"/>
      <c r="R410" s="1"/>
    </row>
    <row r="411" spans="1:18" x14ac:dyDescent="0.2">
      <c r="A411" s="15"/>
      <c r="B411" s="66"/>
      <c r="C411" s="1"/>
      <c r="D411" s="66"/>
      <c r="E411" s="1"/>
      <c r="F411" s="66"/>
      <c r="G411" s="66"/>
      <c r="H411" s="66"/>
      <c r="I411" s="66"/>
      <c r="J411" s="1"/>
      <c r="K411" s="1"/>
      <c r="L411" s="1"/>
      <c r="M411" s="1"/>
      <c r="N411" s="9"/>
      <c r="O411" s="9"/>
      <c r="P411" s="9"/>
      <c r="Q411" s="1"/>
      <c r="R411" s="1"/>
    </row>
    <row r="412" spans="1:18" x14ac:dyDescent="0.2">
      <c r="A412" s="15"/>
      <c r="B412" s="66"/>
      <c r="C412" s="1"/>
      <c r="D412" s="66"/>
      <c r="E412" s="1"/>
      <c r="F412" s="66"/>
      <c r="G412" s="66"/>
      <c r="H412" s="66"/>
      <c r="I412" s="66"/>
      <c r="J412" s="1"/>
      <c r="K412" s="1"/>
      <c r="L412" s="1"/>
      <c r="M412" s="1"/>
      <c r="N412" s="9"/>
      <c r="O412" s="9"/>
      <c r="P412" s="9"/>
      <c r="Q412" s="1"/>
      <c r="R412" s="1"/>
    </row>
    <row r="413" spans="1:18" x14ac:dyDescent="0.2">
      <c r="A413" s="15"/>
      <c r="B413" s="66"/>
      <c r="C413" s="1"/>
      <c r="D413" s="66"/>
      <c r="E413" s="1"/>
      <c r="F413" s="66"/>
      <c r="G413" s="66"/>
      <c r="H413" s="66"/>
      <c r="I413" s="66"/>
      <c r="J413" s="1"/>
      <c r="K413" s="1"/>
      <c r="L413" s="1"/>
      <c r="M413" s="1"/>
      <c r="N413" s="9"/>
      <c r="O413" s="9"/>
      <c r="P413" s="9"/>
      <c r="Q413" s="1"/>
      <c r="R413" s="1"/>
    </row>
    <row r="414" spans="1:18" x14ac:dyDescent="0.2">
      <c r="A414" s="15"/>
      <c r="B414" s="66"/>
      <c r="C414" s="1"/>
      <c r="D414" s="66"/>
      <c r="E414" s="1"/>
      <c r="F414" s="66"/>
      <c r="G414" s="66"/>
      <c r="H414" s="66"/>
      <c r="I414" s="66"/>
      <c r="J414" s="1"/>
      <c r="K414" s="1"/>
      <c r="L414" s="1"/>
      <c r="M414" s="1"/>
      <c r="N414" s="9"/>
      <c r="O414" s="9"/>
      <c r="P414" s="9"/>
      <c r="Q414" s="1"/>
      <c r="R414" s="1"/>
    </row>
    <row r="415" spans="1:18" x14ac:dyDescent="0.2">
      <c r="A415" s="15"/>
      <c r="B415" s="66"/>
      <c r="C415" s="1"/>
      <c r="D415" s="66"/>
      <c r="E415" s="1"/>
      <c r="F415" s="66"/>
      <c r="G415" s="66"/>
      <c r="H415" s="66"/>
      <c r="I415" s="66"/>
      <c r="J415" s="1"/>
      <c r="K415" s="1"/>
      <c r="L415" s="1"/>
      <c r="M415" s="1"/>
      <c r="N415" s="9"/>
      <c r="O415" s="9"/>
      <c r="P415" s="9"/>
      <c r="Q415" s="1"/>
      <c r="R415" s="1"/>
    </row>
    <row r="416" spans="1:18" x14ac:dyDescent="0.2">
      <c r="A416" s="15"/>
      <c r="B416" s="66"/>
      <c r="C416" s="1"/>
      <c r="D416" s="66"/>
      <c r="E416" s="1"/>
      <c r="F416" s="66"/>
      <c r="G416" s="66"/>
      <c r="H416" s="66"/>
      <c r="I416" s="66"/>
      <c r="J416" s="1"/>
      <c r="K416" s="1"/>
      <c r="L416" s="1"/>
      <c r="M416" s="1"/>
      <c r="N416" s="9"/>
      <c r="O416" s="9"/>
      <c r="P416" s="9"/>
      <c r="Q416" s="1"/>
      <c r="R416" s="1"/>
    </row>
    <row r="417" spans="1:18" x14ac:dyDescent="0.2">
      <c r="A417" s="15"/>
      <c r="B417" s="66"/>
      <c r="C417" s="1"/>
      <c r="D417" s="66"/>
      <c r="E417" s="1"/>
      <c r="F417" s="66"/>
      <c r="G417" s="66"/>
      <c r="H417" s="66"/>
      <c r="I417" s="66"/>
      <c r="J417" s="1"/>
      <c r="K417" s="1"/>
      <c r="L417" s="1"/>
      <c r="M417" s="1"/>
      <c r="N417" s="9"/>
      <c r="O417" s="9"/>
      <c r="P417" s="9"/>
      <c r="Q417" s="1"/>
      <c r="R417" s="1"/>
    </row>
    <row r="418" spans="1:18" x14ac:dyDescent="0.2">
      <c r="A418" s="15"/>
      <c r="B418" s="66"/>
      <c r="C418" s="1"/>
      <c r="D418" s="66"/>
      <c r="E418" s="1"/>
      <c r="F418" s="66"/>
      <c r="G418" s="66"/>
      <c r="H418" s="66"/>
      <c r="I418" s="66"/>
      <c r="J418" s="1"/>
      <c r="K418" s="1"/>
      <c r="L418" s="1"/>
      <c r="M418" s="1"/>
      <c r="N418" s="9"/>
      <c r="O418" s="9"/>
      <c r="P418" s="9"/>
      <c r="Q418" s="1"/>
      <c r="R418" s="1"/>
    </row>
    <row r="419" spans="1:18" x14ac:dyDescent="0.2">
      <c r="A419" s="15"/>
      <c r="B419" s="66"/>
      <c r="C419" s="1"/>
      <c r="D419" s="66"/>
      <c r="E419" s="1"/>
      <c r="F419" s="66"/>
      <c r="G419" s="66"/>
      <c r="H419" s="66"/>
      <c r="I419" s="66"/>
      <c r="J419" s="1"/>
      <c r="K419" s="1"/>
      <c r="L419" s="1"/>
      <c r="M419" s="1"/>
      <c r="N419" s="9"/>
      <c r="O419" s="9"/>
      <c r="P419" s="9"/>
      <c r="Q419" s="1"/>
      <c r="R419" s="1"/>
    </row>
    <row r="420" spans="1:18" x14ac:dyDescent="0.2">
      <c r="A420" s="15"/>
      <c r="B420" s="66"/>
      <c r="C420" s="1"/>
      <c r="D420" s="66"/>
      <c r="E420" s="1"/>
      <c r="F420" s="66"/>
      <c r="G420" s="66"/>
      <c r="H420" s="66"/>
      <c r="I420" s="66"/>
      <c r="J420" s="1"/>
      <c r="K420" s="1"/>
      <c r="L420" s="1"/>
      <c r="M420" s="1"/>
      <c r="N420" s="9"/>
      <c r="O420" s="9"/>
      <c r="P420" s="9"/>
      <c r="Q420" s="1"/>
      <c r="R420" s="1"/>
    </row>
    <row r="421" spans="1:18" x14ac:dyDescent="0.2">
      <c r="A421" s="15"/>
      <c r="B421" s="66"/>
      <c r="C421" s="1"/>
      <c r="D421" s="66"/>
      <c r="E421" s="1"/>
      <c r="F421" s="66"/>
      <c r="G421" s="66"/>
      <c r="H421" s="66"/>
      <c r="I421" s="66"/>
      <c r="J421" s="1"/>
      <c r="K421" s="1"/>
      <c r="L421" s="1"/>
      <c r="M421" s="1"/>
      <c r="N421" s="9"/>
      <c r="O421" s="9"/>
      <c r="P421" s="9"/>
      <c r="Q421" s="1"/>
      <c r="R421" s="1"/>
    </row>
    <row r="422" spans="1:18" x14ac:dyDescent="0.2">
      <c r="A422" s="15"/>
      <c r="B422" s="66"/>
      <c r="C422" s="1"/>
      <c r="D422" s="66"/>
      <c r="E422" s="1"/>
      <c r="F422" s="66"/>
      <c r="G422" s="66"/>
      <c r="H422" s="66"/>
      <c r="I422" s="66"/>
      <c r="J422" s="1"/>
      <c r="K422" s="1"/>
      <c r="L422" s="1"/>
      <c r="M422" s="1"/>
      <c r="N422" s="9"/>
      <c r="O422" s="9"/>
      <c r="P422" s="9"/>
      <c r="Q422" s="1"/>
      <c r="R422" s="1"/>
    </row>
    <row r="423" spans="1:18" x14ac:dyDescent="0.2">
      <c r="A423" s="15"/>
      <c r="B423" s="66"/>
      <c r="C423" s="1"/>
      <c r="D423" s="66"/>
      <c r="E423" s="1"/>
      <c r="F423" s="66"/>
      <c r="G423" s="66"/>
      <c r="H423" s="66"/>
      <c r="I423" s="66"/>
      <c r="J423" s="1"/>
      <c r="K423" s="1"/>
      <c r="L423" s="1"/>
      <c r="M423" s="1"/>
      <c r="N423" s="9"/>
      <c r="O423" s="9"/>
      <c r="P423" s="9"/>
      <c r="Q423" s="1"/>
      <c r="R423" s="1"/>
    </row>
    <row r="424" spans="1:18" x14ac:dyDescent="0.2">
      <c r="A424" s="15"/>
      <c r="B424" s="66"/>
      <c r="C424" s="1"/>
      <c r="D424" s="66"/>
      <c r="E424" s="1"/>
      <c r="F424" s="66"/>
      <c r="G424" s="66"/>
      <c r="H424" s="66"/>
      <c r="I424" s="66"/>
      <c r="J424" s="1"/>
      <c r="K424" s="1"/>
      <c r="L424" s="1"/>
      <c r="M424" s="1"/>
      <c r="N424" s="9"/>
      <c r="O424" s="9"/>
      <c r="P424" s="9"/>
      <c r="Q424" s="1"/>
      <c r="R424" s="1"/>
    </row>
    <row r="425" spans="1:18" x14ac:dyDescent="0.2">
      <c r="A425" s="15"/>
      <c r="B425" s="66"/>
      <c r="C425" s="1"/>
      <c r="D425" s="66"/>
      <c r="E425" s="1"/>
      <c r="F425" s="66"/>
      <c r="G425" s="66"/>
      <c r="H425" s="66"/>
      <c r="I425" s="66"/>
      <c r="J425" s="1"/>
      <c r="K425" s="1"/>
      <c r="L425" s="1"/>
      <c r="M425" s="1"/>
      <c r="N425" s="9"/>
      <c r="O425" s="9"/>
      <c r="P425" s="9"/>
      <c r="Q425" s="1"/>
      <c r="R425" s="1"/>
    </row>
    <row r="426" spans="1:18" x14ac:dyDescent="0.2">
      <c r="A426" s="15"/>
      <c r="B426" s="66"/>
      <c r="C426" s="1"/>
      <c r="D426" s="66"/>
      <c r="E426" s="1"/>
      <c r="F426" s="66"/>
      <c r="G426" s="66"/>
      <c r="H426" s="66"/>
      <c r="I426" s="66"/>
      <c r="J426" s="1"/>
      <c r="K426" s="1"/>
      <c r="L426" s="1"/>
      <c r="M426" s="1"/>
      <c r="N426" s="9"/>
      <c r="O426" s="9"/>
      <c r="P426" s="9"/>
      <c r="Q426" s="1"/>
      <c r="R426" s="1"/>
    </row>
    <row r="427" spans="1:18" x14ac:dyDescent="0.2">
      <c r="A427" s="15"/>
      <c r="B427" s="66"/>
      <c r="C427" s="1"/>
      <c r="D427" s="66"/>
      <c r="E427" s="1"/>
      <c r="F427" s="66"/>
      <c r="G427" s="66"/>
      <c r="H427" s="66"/>
      <c r="I427" s="66"/>
      <c r="J427" s="1"/>
      <c r="K427" s="1"/>
      <c r="L427" s="1"/>
      <c r="M427" s="1"/>
      <c r="N427" s="9"/>
      <c r="O427" s="9"/>
      <c r="P427" s="9"/>
      <c r="Q427" s="1"/>
      <c r="R427" s="1"/>
    </row>
    <row r="428" spans="1:18" x14ac:dyDescent="0.2">
      <c r="A428" s="15"/>
      <c r="B428" s="66"/>
      <c r="C428" s="1"/>
      <c r="D428" s="66"/>
      <c r="E428" s="1"/>
      <c r="F428" s="66"/>
      <c r="G428" s="66"/>
      <c r="H428" s="66"/>
      <c r="I428" s="66"/>
      <c r="J428" s="1"/>
      <c r="K428" s="1"/>
      <c r="L428" s="1"/>
      <c r="M428" s="1"/>
      <c r="N428" s="9"/>
      <c r="O428" s="9"/>
      <c r="P428" s="9"/>
      <c r="Q428" s="1"/>
      <c r="R428" s="1"/>
    </row>
    <row r="429" spans="1:18" x14ac:dyDescent="0.2">
      <c r="A429" s="15"/>
      <c r="B429" s="66"/>
      <c r="C429" s="1"/>
      <c r="D429" s="66"/>
      <c r="E429" s="1"/>
      <c r="F429" s="66"/>
      <c r="G429" s="66"/>
      <c r="H429" s="66"/>
      <c r="I429" s="66"/>
      <c r="J429" s="1"/>
      <c r="K429" s="1"/>
      <c r="L429" s="1"/>
      <c r="M429" s="1"/>
      <c r="N429" s="9"/>
      <c r="O429" s="9"/>
      <c r="P429" s="9"/>
      <c r="Q429" s="1"/>
      <c r="R429" s="1"/>
    </row>
    <row r="430" spans="1:18" x14ac:dyDescent="0.2">
      <c r="A430" s="15"/>
      <c r="B430" s="66"/>
      <c r="C430" s="1"/>
      <c r="D430" s="66"/>
      <c r="E430" s="1"/>
      <c r="F430" s="66"/>
      <c r="G430" s="66"/>
      <c r="H430" s="66"/>
      <c r="I430" s="66"/>
      <c r="J430" s="1"/>
      <c r="K430" s="1"/>
      <c r="L430" s="1"/>
      <c r="M430" s="1"/>
      <c r="N430" s="9"/>
      <c r="O430" s="9"/>
      <c r="P430" s="9"/>
      <c r="Q430" s="1"/>
      <c r="R430" s="1"/>
    </row>
    <row r="431" spans="1:18" x14ac:dyDescent="0.2">
      <c r="A431" s="15"/>
      <c r="B431" s="66"/>
      <c r="C431" s="1"/>
      <c r="D431" s="66"/>
      <c r="E431" s="1"/>
      <c r="F431" s="66"/>
      <c r="G431" s="66"/>
      <c r="H431" s="66"/>
      <c r="I431" s="66"/>
      <c r="J431" s="1"/>
      <c r="K431" s="1"/>
      <c r="L431" s="1"/>
      <c r="M431" s="1"/>
      <c r="N431" s="9"/>
      <c r="O431" s="9"/>
      <c r="P431" s="9"/>
      <c r="Q431" s="1"/>
      <c r="R431" s="1"/>
    </row>
    <row r="432" spans="1:18" x14ac:dyDescent="0.2">
      <c r="A432" s="15"/>
      <c r="B432" s="66"/>
      <c r="C432" s="1"/>
      <c r="D432" s="66"/>
      <c r="E432" s="1"/>
      <c r="F432" s="66"/>
      <c r="G432" s="66"/>
      <c r="H432" s="66"/>
      <c r="I432" s="66"/>
      <c r="J432" s="1"/>
      <c r="K432" s="1"/>
      <c r="L432" s="1"/>
      <c r="M432" s="1"/>
      <c r="N432" s="9"/>
      <c r="O432" s="9"/>
      <c r="P432" s="9"/>
      <c r="Q432" s="1"/>
      <c r="R432" s="1"/>
    </row>
    <row r="433" spans="1:18" x14ac:dyDescent="0.2">
      <c r="A433" s="15"/>
      <c r="B433" s="66"/>
      <c r="C433" s="1"/>
      <c r="D433" s="66"/>
      <c r="E433" s="1"/>
      <c r="F433" s="66"/>
      <c r="G433" s="66"/>
      <c r="H433" s="66"/>
      <c r="I433" s="66"/>
      <c r="J433" s="1"/>
      <c r="K433" s="1"/>
      <c r="L433" s="1"/>
      <c r="M433" s="1"/>
      <c r="N433" s="9"/>
      <c r="O433" s="9"/>
      <c r="P433" s="9"/>
      <c r="Q433" s="1"/>
      <c r="R433" s="1"/>
    </row>
    <row r="434" spans="1:18" x14ac:dyDescent="0.2">
      <c r="A434" s="15"/>
      <c r="B434" s="66"/>
      <c r="C434" s="1"/>
      <c r="D434" s="66"/>
      <c r="E434" s="1"/>
      <c r="F434" s="66"/>
      <c r="G434" s="66"/>
      <c r="H434" s="66"/>
      <c r="I434" s="66"/>
      <c r="J434" s="1"/>
      <c r="K434" s="1"/>
      <c r="L434" s="1"/>
      <c r="M434" s="1"/>
      <c r="N434" s="9"/>
      <c r="O434" s="9"/>
      <c r="P434" s="9"/>
      <c r="Q434" s="1"/>
      <c r="R434" s="1"/>
    </row>
    <row r="435" spans="1:18" x14ac:dyDescent="0.2">
      <c r="A435" s="15"/>
      <c r="B435" s="66"/>
      <c r="C435" s="1"/>
      <c r="D435" s="66"/>
      <c r="E435" s="1"/>
      <c r="F435" s="66"/>
      <c r="G435" s="66"/>
      <c r="H435" s="66"/>
      <c r="I435" s="66"/>
      <c r="J435" s="1"/>
      <c r="K435" s="1"/>
      <c r="L435" s="1"/>
      <c r="M435" s="1"/>
      <c r="N435" s="9"/>
      <c r="O435" s="9"/>
      <c r="P435" s="9"/>
      <c r="Q435" s="1"/>
      <c r="R435" s="1"/>
    </row>
    <row r="436" spans="1:18" x14ac:dyDescent="0.2">
      <c r="A436" s="15"/>
      <c r="B436" s="66"/>
      <c r="C436" s="1"/>
      <c r="D436" s="66"/>
      <c r="E436" s="1"/>
      <c r="F436" s="66"/>
      <c r="G436" s="66"/>
      <c r="H436" s="66"/>
      <c r="I436" s="66"/>
      <c r="J436" s="1"/>
      <c r="K436" s="1"/>
      <c r="L436" s="1"/>
      <c r="M436" s="1"/>
      <c r="N436" s="9"/>
      <c r="O436" s="9"/>
      <c r="P436" s="9"/>
      <c r="Q436" s="1"/>
      <c r="R436" s="1"/>
    </row>
    <row r="437" spans="1:18" x14ac:dyDescent="0.2">
      <c r="A437" s="15"/>
      <c r="B437" s="66"/>
      <c r="C437" s="1"/>
      <c r="D437" s="66"/>
      <c r="E437" s="1"/>
      <c r="F437" s="66"/>
      <c r="G437" s="66"/>
      <c r="H437" s="66"/>
      <c r="I437" s="66"/>
      <c r="J437" s="1"/>
      <c r="K437" s="1"/>
      <c r="L437" s="1"/>
      <c r="M437" s="1"/>
      <c r="N437" s="9"/>
      <c r="O437" s="9"/>
      <c r="P437" s="9"/>
      <c r="Q437" s="1"/>
      <c r="R437" s="1"/>
    </row>
    <row r="438" spans="1:18" x14ac:dyDescent="0.2">
      <c r="A438" s="15"/>
      <c r="B438" s="66"/>
      <c r="C438" s="1"/>
      <c r="D438" s="66"/>
      <c r="E438" s="1"/>
      <c r="F438" s="66"/>
      <c r="G438" s="66"/>
      <c r="H438" s="66"/>
      <c r="I438" s="66"/>
      <c r="J438" s="1"/>
      <c r="K438" s="1"/>
      <c r="L438" s="1"/>
      <c r="M438" s="1"/>
      <c r="N438" s="9"/>
      <c r="O438" s="9"/>
      <c r="P438" s="9"/>
      <c r="Q438" s="1"/>
      <c r="R438" s="1"/>
    </row>
    <row r="439" spans="1:18" x14ac:dyDescent="0.2">
      <c r="A439" s="15"/>
      <c r="B439" s="66"/>
      <c r="C439" s="1"/>
      <c r="D439" s="66"/>
      <c r="E439" s="1"/>
      <c r="F439" s="66"/>
      <c r="G439" s="66"/>
      <c r="H439" s="66"/>
      <c r="I439" s="66"/>
      <c r="J439" s="1"/>
      <c r="K439" s="1"/>
      <c r="L439" s="1"/>
      <c r="M439" s="1"/>
      <c r="N439" s="9"/>
      <c r="O439" s="9"/>
      <c r="P439" s="9"/>
      <c r="Q439" s="1"/>
      <c r="R439" s="1"/>
    </row>
    <row r="440" spans="1:18" x14ac:dyDescent="0.2">
      <c r="A440" s="15"/>
      <c r="B440" s="66"/>
      <c r="C440" s="1"/>
      <c r="D440" s="66"/>
      <c r="E440" s="1"/>
      <c r="F440" s="66"/>
      <c r="G440" s="66"/>
      <c r="H440" s="66"/>
      <c r="I440" s="66"/>
      <c r="J440" s="1"/>
      <c r="K440" s="1"/>
      <c r="L440" s="1"/>
      <c r="M440" s="1"/>
      <c r="N440" s="9"/>
      <c r="O440" s="9"/>
      <c r="P440" s="9"/>
      <c r="Q440" s="1"/>
      <c r="R440" s="1"/>
    </row>
    <row r="441" spans="1:18" x14ac:dyDescent="0.2">
      <c r="A441" s="15"/>
      <c r="B441" s="66"/>
      <c r="C441" s="1"/>
      <c r="D441" s="66"/>
      <c r="E441" s="1"/>
      <c r="F441" s="66"/>
      <c r="G441" s="66"/>
      <c r="H441" s="66"/>
      <c r="I441" s="66"/>
      <c r="J441" s="1"/>
      <c r="K441" s="1"/>
      <c r="L441" s="1"/>
      <c r="M441" s="1"/>
      <c r="N441" s="9"/>
      <c r="O441" s="9"/>
      <c r="P441" s="9"/>
      <c r="Q441" s="1"/>
      <c r="R441" s="1"/>
    </row>
    <row r="442" spans="1:18" x14ac:dyDescent="0.2">
      <c r="A442" s="15"/>
      <c r="B442" s="66"/>
      <c r="C442" s="1"/>
      <c r="D442" s="66"/>
      <c r="E442" s="1"/>
      <c r="F442" s="66"/>
      <c r="G442" s="66"/>
      <c r="H442" s="66"/>
      <c r="I442" s="66"/>
      <c r="J442" s="1"/>
      <c r="K442" s="1"/>
      <c r="L442" s="1"/>
      <c r="M442" s="1"/>
      <c r="N442" s="9"/>
      <c r="O442" s="9"/>
      <c r="P442" s="9"/>
      <c r="Q442" s="1"/>
      <c r="R442" s="1"/>
    </row>
    <row r="443" spans="1:18" x14ac:dyDescent="0.2">
      <c r="A443" s="15"/>
      <c r="B443" s="66"/>
      <c r="C443" s="1"/>
      <c r="D443" s="66"/>
      <c r="E443" s="1"/>
      <c r="F443" s="66"/>
      <c r="G443" s="66"/>
      <c r="H443" s="66"/>
      <c r="I443" s="66"/>
      <c r="J443" s="1"/>
      <c r="K443" s="1"/>
      <c r="L443" s="1"/>
      <c r="M443" s="1"/>
      <c r="N443" s="9"/>
      <c r="O443" s="9"/>
      <c r="P443" s="9"/>
      <c r="Q443" s="1"/>
      <c r="R443" s="1"/>
    </row>
    <row r="444" spans="1:18" x14ac:dyDescent="0.2">
      <c r="A444" s="15"/>
      <c r="B444" s="66"/>
      <c r="C444" s="1"/>
      <c r="D444" s="66"/>
      <c r="E444" s="1"/>
      <c r="F444" s="66"/>
      <c r="G444" s="66"/>
      <c r="H444" s="66"/>
      <c r="I444" s="66"/>
      <c r="J444" s="1"/>
      <c r="K444" s="1"/>
      <c r="L444" s="1"/>
      <c r="M444" s="1"/>
      <c r="N444" s="9"/>
      <c r="O444" s="9"/>
      <c r="P444" s="9"/>
      <c r="Q444" s="1"/>
      <c r="R444" s="1"/>
    </row>
    <row r="445" spans="1:18" x14ac:dyDescent="0.2">
      <c r="A445" s="15"/>
      <c r="B445" s="66"/>
      <c r="C445" s="1"/>
      <c r="D445" s="66"/>
      <c r="E445" s="1"/>
      <c r="F445" s="66"/>
      <c r="G445" s="66"/>
      <c r="H445" s="66"/>
      <c r="I445" s="66"/>
      <c r="J445" s="1"/>
      <c r="K445" s="1"/>
      <c r="L445" s="1"/>
      <c r="M445" s="1"/>
      <c r="N445" s="9"/>
      <c r="O445" s="9"/>
      <c r="P445" s="9"/>
      <c r="Q445" s="1"/>
      <c r="R445" s="1"/>
    </row>
    <row r="446" spans="1:18" x14ac:dyDescent="0.2">
      <c r="A446" s="15"/>
      <c r="B446" s="66"/>
      <c r="C446" s="1"/>
      <c r="D446" s="66"/>
      <c r="E446" s="1"/>
      <c r="F446" s="66"/>
      <c r="G446" s="66"/>
      <c r="H446" s="66"/>
      <c r="I446" s="66"/>
      <c r="J446" s="1"/>
      <c r="K446" s="1"/>
      <c r="L446" s="1"/>
      <c r="M446" s="1"/>
      <c r="N446" s="9"/>
      <c r="O446" s="9"/>
      <c r="P446" s="9"/>
      <c r="Q446" s="1"/>
      <c r="R446" s="1"/>
    </row>
    <row r="447" spans="1:18" x14ac:dyDescent="0.2">
      <c r="A447" s="15"/>
      <c r="B447" s="66"/>
      <c r="C447" s="1"/>
      <c r="D447" s="66"/>
      <c r="E447" s="1"/>
      <c r="F447" s="66"/>
      <c r="G447" s="66"/>
      <c r="H447" s="66"/>
      <c r="I447" s="66"/>
      <c r="J447" s="1"/>
      <c r="K447" s="1"/>
      <c r="L447" s="1"/>
      <c r="M447" s="1"/>
      <c r="N447" s="9"/>
      <c r="O447" s="9"/>
      <c r="P447" s="9"/>
      <c r="Q447" s="1"/>
      <c r="R447" s="1"/>
    </row>
    <row r="448" spans="1:18" x14ac:dyDescent="0.2">
      <c r="A448" s="15"/>
      <c r="B448" s="66"/>
      <c r="C448" s="1"/>
      <c r="D448" s="66"/>
      <c r="E448" s="1"/>
      <c r="F448" s="66"/>
      <c r="G448" s="66"/>
      <c r="H448" s="66"/>
      <c r="I448" s="66"/>
      <c r="J448" s="1"/>
      <c r="K448" s="1"/>
      <c r="L448" s="1"/>
      <c r="M448" s="1"/>
      <c r="N448" s="9"/>
      <c r="O448" s="9"/>
      <c r="P448" s="9"/>
      <c r="Q448" s="1"/>
      <c r="R448" s="1"/>
    </row>
    <row r="449" spans="1:18" x14ac:dyDescent="0.2">
      <c r="A449" s="15"/>
      <c r="B449" s="66"/>
      <c r="C449" s="1"/>
      <c r="D449" s="66"/>
      <c r="E449" s="1"/>
      <c r="F449" s="66"/>
      <c r="G449" s="66"/>
      <c r="H449" s="66"/>
      <c r="I449" s="66"/>
      <c r="J449" s="1"/>
      <c r="K449" s="1"/>
      <c r="L449" s="1"/>
      <c r="M449" s="1"/>
      <c r="N449" s="9"/>
      <c r="O449" s="9"/>
      <c r="P449" s="9"/>
      <c r="Q449" s="1"/>
      <c r="R449" s="1"/>
    </row>
    <row r="450" spans="1:18" x14ac:dyDescent="0.2">
      <c r="A450" s="15"/>
      <c r="B450" s="66"/>
      <c r="C450" s="1"/>
      <c r="D450" s="66"/>
      <c r="E450" s="1"/>
      <c r="F450" s="66"/>
      <c r="G450" s="66"/>
      <c r="H450" s="66"/>
      <c r="I450" s="66"/>
      <c r="J450" s="1"/>
      <c r="K450" s="1"/>
      <c r="L450" s="1"/>
      <c r="M450" s="1"/>
      <c r="N450" s="9"/>
      <c r="O450" s="9"/>
      <c r="P450" s="9"/>
      <c r="Q450" s="1"/>
      <c r="R450" s="1"/>
    </row>
    <row r="451" spans="1:18" x14ac:dyDescent="0.2">
      <c r="A451" s="15"/>
      <c r="B451" s="66"/>
      <c r="C451" s="1"/>
      <c r="D451" s="66"/>
      <c r="E451" s="1"/>
      <c r="F451" s="66"/>
      <c r="G451" s="66"/>
      <c r="H451" s="66"/>
      <c r="I451" s="66"/>
      <c r="J451" s="1"/>
      <c r="K451" s="1"/>
      <c r="L451" s="1"/>
      <c r="M451" s="1"/>
      <c r="N451" s="9"/>
      <c r="O451" s="9"/>
      <c r="P451" s="9"/>
      <c r="Q451" s="1"/>
      <c r="R451" s="1"/>
    </row>
    <row r="452" spans="1:18" x14ac:dyDescent="0.2">
      <c r="A452" s="15"/>
      <c r="B452" s="66"/>
      <c r="C452" s="1"/>
      <c r="D452" s="66"/>
      <c r="E452" s="1"/>
      <c r="F452" s="66"/>
      <c r="G452" s="66"/>
      <c r="H452" s="66"/>
      <c r="I452" s="66"/>
      <c r="J452" s="1"/>
      <c r="K452" s="1"/>
      <c r="L452" s="1"/>
      <c r="M452" s="1"/>
      <c r="N452" s="9"/>
      <c r="O452" s="9"/>
      <c r="P452" s="9"/>
      <c r="Q452" s="1"/>
      <c r="R452" s="1"/>
    </row>
    <row r="453" spans="1:18" x14ac:dyDescent="0.2">
      <c r="A453" s="15"/>
      <c r="B453" s="66"/>
      <c r="C453" s="1"/>
      <c r="D453" s="66"/>
      <c r="E453" s="1"/>
      <c r="F453" s="66"/>
      <c r="G453" s="66"/>
      <c r="H453" s="66"/>
      <c r="I453" s="66"/>
      <c r="J453" s="1"/>
      <c r="K453" s="1"/>
      <c r="L453" s="1"/>
      <c r="M453" s="1"/>
      <c r="N453" s="9"/>
      <c r="O453" s="9"/>
      <c r="P453" s="9"/>
      <c r="Q453" s="1"/>
      <c r="R453" s="1"/>
    </row>
    <row r="454" spans="1:18" x14ac:dyDescent="0.2">
      <c r="A454" s="15"/>
      <c r="B454" s="66"/>
      <c r="C454" s="1"/>
      <c r="D454" s="66"/>
      <c r="E454" s="1"/>
      <c r="F454" s="66"/>
      <c r="G454" s="66"/>
      <c r="H454" s="66"/>
      <c r="I454" s="66"/>
      <c r="J454" s="1"/>
      <c r="K454" s="1"/>
      <c r="L454" s="1"/>
      <c r="M454" s="1"/>
      <c r="N454" s="9"/>
      <c r="O454" s="9"/>
      <c r="P454" s="9"/>
      <c r="Q454" s="1"/>
      <c r="R454" s="1"/>
    </row>
    <row r="455" spans="1:18" x14ac:dyDescent="0.2">
      <c r="A455" s="15"/>
      <c r="B455" s="66"/>
      <c r="C455" s="1"/>
      <c r="D455" s="66"/>
      <c r="E455" s="1"/>
      <c r="F455" s="66"/>
      <c r="G455" s="66"/>
      <c r="H455" s="66"/>
      <c r="I455" s="66"/>
      <c r="J455" s="1"/>
      <c r="K455" s="1"/>
      <c r="L455" s="1"/>
      <c r="M455" s="1"/>
      <c r="N455" s="9"/>
      <c r="O455" s="9"/>
      <c r="P455" s="9"/>
      <c r="Q455" s="1"/>
      <c r="R455" s="1"/>
    </row>
    <row r="456" spans="1:18" x14ac:dyDescent="0.2">
      <c r="A456" s="15"/>
      <c r="B456" s="66"/>
      <c r="C456" s="1"/>
      <c r="D456" s="66"/>
      <c r="E456" s="1"/>
      <c r="F456" s="66"/>
      <c r="G456" s="66"/>
      <c r="H456" s="66"/>
      <c r="I456" s="66"/>
      <c r="J456" s="1"/>
      <c r="K456" s="1"/>
      <c r="L456" s="1"/>
      <c r="M456" s="1"/>
      <c r="N456" s="9"/>
      <c r="O456" s="9"/>
      <c r="P456" s="9"/>
      <c r="Q456" s="1"/>
      <c r="R456" s="1"/>
    </row>
    <row r="457" spans="1:18" x14ac:dyDescent="0.2">
      <c r="A457" s="15"/>
      <c r="B457" s="66"/>
      <c r="C457" s="1"/>
      <c r="D457" s="66"/>
      <c r="E457" s="1"/>
      <c r="F457" s="66"/>
      <c r="G457" s="66"/>
      <c r="H457" s="66"/>
      <c r="I457" s="66"/>
      <c r="J457" s="1"/>
      <c r="K457" s="1"/>
      <c r="L457" s="1"/>
      <c r="M457" s="1"/>
      <c r="N457" s="9"/>
      <c r="O457" s="9"/>
      <c r="P457" s="9"/>
      <c r="Q457" s="1"/>
      <c r="R457" s="1"/>
    </row>
    <row r="458" spans="1:18" x14ac:dyDescent="0.2">
      <c r="A458" s="15"/>
      <c r="B458" s="66"/>
      <c r="C458" s="1"/>
      <c r="D458" s="66"/>
      <c r="E458" s="1"/>
      <c r="F458" s="66"/>
      <c r="G458" s="66"/>
      <c r="H458" s="66"/>
      <c r="I458" s="66"/>
      <c r="J458" s="1"/>
      <c r="K458" s="1"/>
      <c r="L458" s="1"/>
      <c r="M458" s="1"/>
      <c r="N458" s="9"/>
      <c r="O458" s="9"/>
      <c r="P458" s="9"/>
      <c r="Q458" s="1"/>
      <c r="R458" s="1"/>
    </row>
    <row r="459" spans="1:18" x14ac:dyDescent="0.2">
      <c r="A459" s="15"/>
      <c r="B459" s="66"/>
      <c r="C459" s="1"/>
      <c r="D459" s="66"/>
      <c r="E459" s="1"/>
      <c r="F459" s="66"/>
      <c r="G459" s="66"/>
      <c r="H459" s="66"/>
      <c r="I459" s="66"/>
      <c r="J459" s="1"/>
      <c r="K459" s="1"/>
      <c r="L459" s="1"/>
      <c r="M459" s="1"/>
      <c r="N459" s="9"/>
      <c r="O459" s="9"/>
      <c r="P459" s="9"/>
      <c r="Q459" s="1"/>
      <c r="R459" s="1"/>
    </row>
    <row r="460" spans="1:18" x14ac:dyDescent="0.2">
      <c r="A460" s="15"/>
      <c r="B460" s="66"/>
      <c r="C460" s="1"/>
      <c r="D460" s="66"/>
      <c r="E460" s="1"/>
      <c r="F460" s="66"/>
      <c r="G460" s="66"/>
      <c r="H460" s="66"/>
      <c r="I460" s="66"/>
      <c r="J460" s="1"/>
      <c r="K460" s="1"/>
      <c r="L460" s="1"/>
      <c r="M460" s="1"/>
      <c r="N460" s="9"/>
      <c r="O460" s="9"/>
      <c r="P460" s="9"/>
      <c r="Q460" s="1"/>
      <c r="R460" s="1"/>
    </row>
    <row r="461" spans="1:18" x14ac:dyDescent="0.2">
      <c r="A461" s="15"/>
      <c r="B461" s="66"/>
      <c r="C461" s="1"/>
      <c r="D461" s="66"/>
      <c r="E461" s="1"/>
      <c r="F461" s="66"/>
      <c r="G461" s="66"/>
      <c r="H461" s="66"/>
      <c r="I461" s="66"/>
      <c r="J461" s="1"/>
      <c r="K461" s="1"/>
      <c r="L461" s="1"/>
      <c r="M461" s="1"/>
      <c r="N461" s="9"/>
      <c r="O461" s="9"/>
      <c r="P461" s="9"/>
      <c r="Q461" s="1"/>
      <c r="R461" s="1"/>
    </row>
    <row r="462" spans="1:18" x14ac:dyDescent="0.2">
      <c r="A462" s="15"/>
      <c r="B462" s="66"/>
      <c r="C462" s="1"/>
      <c r="D462" s="66"/>
      <c r="E462" s="1"/>
      <c r="F462" s="66"/>
      <c r="G462" s="66"/>
      <c r="H462" s="66"/>
      <c r="I462" s="66"/>
      <c r="J462" s="1"/>
      <c r="K462" s="1"/>
      <c r="L462" s="1"/>
      <c r="M462" s="1"/>
      <c r="N462" s="9"/>
      <c r="O462" s="9"/>
      <c r="P462" s="9"/>
      <c r="Q462" s="1"/>
      <c r="R462" s="1"/>
    </row>
    <row r="463" spans="1:18" x14ac:dyDescent="0.2">
      <c r="A463" s="15"/>
      <c r="B463" s="66"/>
      <c r="C463" s="1"/>
      <c r="D463" s="66"/>
      <c r="E463" s="1"/>
      <c r="F463" s="66"/>
      <c r="G463" s="66"/>
      <c r="H463" s="66"/>
      <c r="I463" s="66"/>
      <c r="J463" s="1"/>
      <c r="K463" s="1"/>
      <c r="L463" s="1"/>
      <c r="M463" s="1"/>
      <c r="N463" s="9"/>
      <c r="O463" s="9"/>
      <c r="P463" s="9"/>
      <c r="Q463" s="1"/>
      <c r="R463" s="1"/>
    </row>
    <row r="464" spans="1:18" x14ac:dyDescent="0.2">
      <c r="A464" s="15"/>
      <c r="B464" s="66"/>
      <c r="C464" s="1"/>
      <c r="D464" s="66"/>
      <c r="E464" s="1"/>
      <c r="F464" s="66"/>
      <c r="G464" s="66"/>
      <c r="H464" s="66"/>
      <c r="I464" s="66"/>
      <c r="J464" s="1"/>
      <c r="K464" s="1"/>
      <c r="L464" s="1"/>
      <c r="M464" s="1"/>
      <c r="N464" s="9"/>
      <c r="O464" s="9"/>
      <c r="P464" s="9"/>
      <c r="Q464" s="1"/>
      <c r="R464" s="1"/>
    </row>
    <row r="465" spans="1:18" x14ac:dyDescent="0.2">
      <c r="A465" s="15"/>
      <c r="B465" s="66"/>
      <c r="C465" s="1"/>
      <c r="D465" s="66"/>
      <c r="E465" s="1"/>
      <c r="F465" s="66"/>
      <c r="G465" s="66"/>
      <c r="H465" s="66"/>
      <c r="I465" s="66"/>
      <c r="J465" s="1"/>
      <c r="K465" s="1"/>
      <c r="L465" s="1"/>
      <c r="M465" s="1"/>
      <c r="N465" s="9"/>
      <c r="O465" s="9"/>
      <c r="P465" s="9"/>
      <c r="Q465" s="1"/>
      <c r="R465" s="1"/>
    </row>
    <row r="466" spans="1:18" x14ac:dyDescent="0.2">
      <c r="A466" s="15"/>
      <c r="B466" s="66"/>
      <c r="C466" s="1"/>
      <c r="D466" s="66"/>
      <c r="E466" s="1"/>
      <c r="F466" s="66"/>
      <c r="G466" s="66"/>
      <c r="H466" s="66"/>
      <c r="I466" s="66"/>
      <c r="J466" s="1"/>
      <c r="K466" s="1"/>
      <c r="L466" s="1"/>
      <c r="M466" s="1"/>
      <c r="N466" s="9"/>
      <c r="O466" s="9"/>
      <c r="P466" s="9"/>
      <c r="Q466" s="1"/>
      <c r="R466" s="1"/>
    </row>
    <row r="467" spans="1:18" x14ac:dyDescent="0.2">
      <c r="A467" s="15"/>
      <c r="B467" s="66"/>
      <c r="C467" s="1"/>
      <c r="D467" s="66"/>
      <c r="E467" s="1"/>
      <c r="F467" s="66"/>
      <c r="G467" s="66"/>
      <c r="H467" s="66"/>
      <c r="I467" s="66"/>
      <c r="J467" s="1"/>
      <c r="K467" s="1"/>
      <c r="L467" s="1"/>
      <c r="M467" s="1"/>
      <c r="N467" s="9"/>
      <c r="O467" s="9"/>
      <c r="P467" s="9"/>
      <c r="Q467" s="1"/>
      <c r="R467" s="1"/>
    </row>
    <row r="468" spans="1:18" x14ac:dyDescent="0.2">
      <c r="A468" s="15"/>
      <c r="B468" s="66"/>
      <c r="C468" s="1"/>
      <c r="D468" s="66"/>
      <c r="E468" s="1"/>
      <c r="F468" s="66"/>
      <c r="G468" s="66"/>
      <c r="H468" s="66"/>
      <c r="I468" s="66"/>
      <c r="J468" s="1"/>
      <c r="K468" s="1"/>
      <c r="L468" s="1"/>
      <c r="M468" s="1"/>
      <c r="N468" s="9"/>
      <c r="O468" s="9"/>
      <c r="P468" s="9"/>
      <c r="Q468" s="1"/>
      <c r="R468" s="1"/>
    </row>
    <row r="469" spans="1:18" x14ac:dyDescent="0.2">
      <c r="A469" s="15"/>
      <c r="B469" s="66"/>
      <c r="C469" s="1"/>
      <c r="D469" s="66"/>
      <c r="E469" s="1"/>
      <c r="F469" s="66"/>
      <c r="G469" s="66"/>
      <c r="H469" s="66"/>
      <c r="I469" s="66"/>
      <c r="J469" s="1"/>
      <c r="K469" s="1"/>
      <c r="L469" s="1"/>
      <c r="M469" s="1"/>
      <c r="N469" s="9"/>
      <c r="O469" s="9"/>
      <c r="P469" s="9"/>
      <c r="Q469" s="1"/>
      <c r="R469" s="1"/>
    </row>
    <row r="470" spans="1:18" x14ac:dyDescent="0.2">
      <c r="A470" s="15"/>
      <c r="B470" s="66"/>
      <c r="C470" s="1"/>
      <c r="D470" s="66"/>
      <c r="E470" s="1"/>
      <c r="F470" s="66"/>
      <c r="G470" s="66"/>
      <c r="H470" s="66"/>
      <c r="I470" s="66"/>
      <c r="J470" s="1"/>
      <c r="K470" s="1"/>
      <c r="L470" s="1"/>
      <c r="M470" s="1"/>
      <c r="N470" s="9"/>
      <c r="O470" s="9"/>
      <c r="P470" s="9"/>
      <c r="Q470" s="1"/>
      <c r="R470" s="1"/>
    </row>
    <row r="471" spans="1:18" x14ac:dyDescent="0.2">
      <c r="A471" s="15"/>
      <c r="B471" s="66"/>
      <c r="C471" s="1"/>
      <c r="D471" s="66"/>
      <c r="E471" s="1"/>
      <c r="F471" s="66"/>
      <c r="G471" s="66"/>
      <c r="H471" s="66"/>
      <c r="I471" s="66"/>
      <c r="J471" s="1"/>
      <c r="K471" s="1"/>
      <c r="L471" s="1"/>
      <c r="M471" s="1"/>
      <c r="N471" s="9"/>
      <c r="O471" s="9"/>
      <c r="P471" s="9"/>
      <c r="Q471" s="1"/>
      <c r="R471" s="1"/>
    </row>
    <row r="472" spans="1:18" x14ac:dyDescent="0.2">
      <c r="A472" s="15"/>
      <c r="B472" s="66"/>
      <c r="C472" s="1"/>
      <c r="D472" s="66"/>
      <c r="E472" s="1"/>
      <c r="F472" s="66"/>
      <c r="G472" s="66"/>
      <c r="H472" s="66"/>
      <c r="I472" s="66"/>
      <c r="J472" s="1"/>
      <c r="K472" s="1"/>
      <c r="L472" s="1"/>
      <c r="M472" s="1"/>
      <c r="N472" s="9"/>
      <c r="O472" s="9"/>
      <c r="P472" s="9"/>
      <c r="Q472" s="1"/>
      <c r="R472" s="1"/>
    </row>
    <row r="473" spans="1:18" x14ac:dyDescent="0.2">
      <c r="A473" s="15"/>
      <c r="B473" s="66"/>
      <c r="C473" s="1"/>
      <c r="D473" s="66"/>
      <c r="E473" s="1"/>
      <c r="F473" s="66"/>
      <c r="G473" s="66"/>
      <c r="H473" s="66"/>
      <c r="I473" s="66"/>
      <c r="J473" s="1"/>
      <c r="K473" s="1"/>
      <c r="L473" s="1"/>
      <c r="M473" s="1"/>
      <c r="N473" s="9"/>
      <c r="O473" s="9"/>
      <c r="P473" s="9"/>
      <c r="Q473" s="1"/>
      <c r="R473" s="1"/>
    </row>
    <row r="474" spans="1:18" x14ac:dyDescent="0.2">
      <c r="A474" s="15"/>
      <c r="B474" s="66"/>
      <c r="C474" s="1"/>
      <c r="D474" s="66"/>
      <c r="E474" s="1"/>
      <c r="F474" s="66"/>
      <c r="G474" s="66"/>
      <c r="H474" s="66"/>
      <c r="I474" s="66"/>
      <c r="J474" s="1"/>
      <c r="K474" s="1"/>
      <c r="L474" s="1"/>
      <c r="M474" s="1"/>
      <c r="N474" s="9"/>
      <c r="O474" s="9"/>
      <c r="P474" s="9"/>
      <c r="Q474" s="1"/>
      <c r="R474" s="1"/>
    </row>
    <row r="475" spans="1:18" x14ac:dyDescent="0.2">
      <c r="A475" s="15"/>
      <c r="B475" s="66"/>
      <c r="C475" s="1"/>
      <c r="D475" s="66"/>
      <c r="E475" s="1"/>
      <c r="F475" s="66"/>
      <c r="G475" s="66"/>
      <c r="H475" s="66"/>
      <c r="I475" s="66"/>
      <c r="J475" s="1"/>
      <c r="K475" s="1"/>
      <c r="L475" s="1"/>
      <c r="M475" s="1"/>
      <c r="N475" s="9"/>
      <c r="O475" s="9"/>
      <c r="P475" s="9"/>
      <c r="Q475" s="1"/>
      <c r="R475" s="1"/>
    </row>
    <row r="476" spans="1:18" x14ac:dyDescent="0.2">
      <c r="A476" s="15"/>
      <c r="B476" s="66"/>
      <c r="C476" s="1"/>
      <c r="D476" s="66"/>
      <c r="E476" s="1"/>
      <c r="F476" s="66"/>
      <c r="G476" s="66"/>
      <c r="H476" s="66"/>
      <c r="I476" s="66"/>
      <c r="J476" s="1"/>
      <c r="K476" s="1"/>
      <c r="L476" s="1"/>
      <c r="M476" s="1"/>
      <c r="N476" s="9"/>
      <c r="O476" s="9"/>
      <c r="P476" s="9"/>
      <c r="Q476" s="1"/>
      <c r="R476" s="1"/>
    </row>
    <row r="477" spans="1:18" x14ac:dyDescent="0.2">
      <c r="A477" s="15"/>
      <c r="B477" s="66"/>
      <c r="C477" s="1"/>
      <c r="D477" s="66"/>
      <c r="E477" s="1"/>
      <c r="F477" s="66"/>
      <c r="G477" s="66"/>
      <c r="H477" s="66"/>
      <c r="I477" s="66"/>
      <c r="J477" s="1"/>
      <c r="K477" s="1"/>
      <c r="L477" s="1"/>
      <c r="M477" s="1"/>
      <c r="N477" s="9"/>
      <c r="O477" s="9"/>
      <c r="P477" s="9"/>
      <c r="Q477" s="1"/>
      <c r="R477" s="1"/>
    </row>
    <row r="478" spans="1:18" x14ac:dyDescent="0.2">
      <c r="A478" s="15"/>
      <c r="B478" s="66"/>
      <c r="C478" s="1"/>
      <c r="D478" s="66"/>
      <c r="E478" s="1"/>
      <c r="F478" s="66"/>
      <c r="G478" s="66"/>
      <c r="H478" s="66"/>
      <c r="I478" s="66"/>
      <c r="J478" s="1"/>
      <c r="K478" s="1"/>
      <c r="L478" s="1"/>
      <c r="M478" s="1"/>
      <c r="N478" s="9"/>
      <c r="O478" s="9"/>
      <c r="P478" s="9"/>
      <c r="Q478" s="1"/>
      <c r="R478" s="1"/>
    </row>
    <row r="479" spans="1:18" x14ac:dyDescent="0.2">
      <c r="A479" s="15"/>
      <c r="B479" s="66"/>
      <c r="C479" s="1"/>
      <c r="D479" s="66"/>
      <c r="E479" s="1"/>
      <c r="F479" s="66"/>
      <c r="G479" s="66"/>
      <c r="H479" s="66"/>
      <c r="I479" s="66"/>
      <c r="J479" s="1"/>
      <c r="K479" s="1"/>
      <c r="L479" s="1"/>
      <c r="M479" s="1"/>
      <c r="N479" s="9"/>
      <c r="O479" s="9"/>
      <c r="P479" s="9"/>
      <c r="Q479" s="1"/>
      <c r="R479" s="1"/>
    </row>
    <row r="480" spans="1:18" x14ac:dyDescent="0.2">
      <c r="A480" s="15"/>
      <c r="B480" s="66"/>
      <c r="C480" s="1"/>
      <c r="D480" s="66"/>
      <c r="E480" s="1"/>
      <c r="F480" s="66"/>
      <c r="G480" s="66"/>
      <c r="H480" s="66"/>
      <c r="I480" s="66"/>
      <c r="J480" s="1"/>
      <c r="K480" s="1"/>
      <c r="L480" s="1"/>
      <c r="M480" s="1"/>
      <c r="N480" s="9"/>
      <c r="O480" s="9"/>
      <c r="P480" s="9"/>
      <c r="Q480" s="1"/>
      <c r="R480" s="1"/>
    </row>
    <row r="481" spans="1:18" x14ac:dyDescent="0.2">
      <c r="A481" s="15"/>
      <c r="B481" s="66"/>
      <c r="C481" s="1"/>
      <c r="D481" s="66"/>
      <c r="E481" s="1"/>
      <c r="F481" s="66"/>
      <c r="G481" s="66"/>
      <c r="H481" s="66"/>
      <c r="I481" s="66"/>
      <c r="J481" s="1"/>
      <c r="K481" s="1"/>
      <c r="L481" s="1"/>
      <c r="M481" s="1"/>
      <c r="N481" s="9"/>
      <c r="O481" s="9"/>
      <c r="P481" s="9"/>
      <c r="Q481" s="1"/>
      <c r="R481" s="1"/>
    </row>
    <row r="482" spans="1:18" x14ac:dyDescent="0.2">
      <c r="A482" s="15"/>
      <c r="B482" s="66"/>
      <c r="C482" s="1"/>
      <c r="D482" s="66"/>
      <c r="E482" s="1"/>
      <c r="F482" s="66"/>
      <c r="G482" s="66"/>
      <c r="H482" s="66"/>
      <c r="I482" s="66"/>
      <c r="J482" s="1"/>
      <c r="K482" s="1"/>
      <c r="L482" s="1"/>
      <c r="M482" s="1"/>
      <c r="N482" s="9"/>
      <c r="O482" s="9"/>
      <c r="P482" s="9"/>
      <c r="Q482" s="1"/>
      <c r="R482" s="1"/>
    </row>
    <row r="483" spans="1:18" x14ac:dyDescent="0.2">
      <c r="A483" s="15"/>
      <c r="B483" s="66"/>
      <c r="C483" s="1"/>
      <c r="D483" s="66"/>
      <c r="E483" s="1"/>
      <c r="F483" s="66"/>
      <c r="G483" s="66"/>
      <c r="H483" s="66"/>
      <c r="I483" s="66"/>
      <c r="J483" s="1"/>
      <c r="K483" s="1"/>
      <c r="L483" s="1"/>
      <c r="M483" s="1"/>
      <c r="N483" s="9"/>
      <c r="O483" s="9"/>
      <c r="P483" s="9"/>
      <c r="Q483" s="1"/>
      <c r="R483" s="1"/>
    </row>
    <row r="484" spans="1:18" x14ac:dyDescent="0.2">
      <c r="A484" s="15"/>
      <c r="B484" s="66"/>
      <c r="C484" s="1"/>
      <c r="D484" s="66"/>
      <c r="E484" s="1"/>
      <c r="F484" s="66"/>
      <c r="G484" s="66"/>
      <c r="H484" s="66"/>
      <c r="I484" s="66"/>
      <c r="J484" s="1"/>
      <c r="K484" s="1"/>
      <c r="L484" s="1"/>
      <c r="M484" s="1"/>
      <c r="N484" s="9"/>
      <c r="O484" s="9"/>
      <c r="P484" s="9"/>
      <c r="Q484" s="1"/>
      <c r="R484" s="1"/>
    </row>
    <row r="485" spans="1:18" x14ac:dyDescent="0.2">
      <c r="A485" s="15"/>
      <c r="B485" s="66"/>
      <c r="C485" s="1"/>
      <c r="D485" s="66"/>
      <c r="E485" s="1"/>
      <c r="F485" s="66"/>
      <c r="G485" s="66"/>
      <c r="H485" s="66"/>
      <c r="I485" s="66"/>
      <c r="J485" s="1"/>
      <c r="K485" s="1"/>
      <c r="L485" s="1"/>
      <c r="M485" s="1"/>
      <c r="N485" s="9"/>
      <c r="O485" s="9"/>
      <c r="P485" s="9"/>
      <c r="Q485" s="1"/>
      <c r="R485" s="1"/>
    </row>
    <row r="486" spans="1:18" x14ac:dyDescent="0.2">
      <c r="A486" s="15"/>
      <c r="B486" s="66"/>
      <c r="C486" s="1"/>
      <c r="D486" s="66"/>
      <c r="E486" s="1"/>
      <c r="F486" s="66"/>
      <c r="G486" s="66"/>
      <c r="H486" s="66"/>
      <c r="I486" s="66"/>
      <c r="J486" s="1"/>
      <c r="K486" s="1"/>
      <c r="L486" s="1"/>
      <c r="M486" s="1"/>
      <c r="N486" s="9"/>
      <c r="O486" s="9"/>
      <c r="P486" s="9"/>
      <c r="Q486" s="1"/>
      <c r="R486" s="1"/>
    </row>
    <row r="487" spans="1:18" x14ac:dyDescent="0.2">
      <c r="A487" s="15"/>
      <c r="B487" s="66"/>
      <c r="C487" s="1"/>
      <c r="D487" s="66"/>
      <c r="E487" s="1"/>
      <c r="F487" s="66"/>
      <c r="G487" s="66"/>
      <c r="H487" s="66"/>
      <c r="I487" s="66"/>
      <c r="J487" s="1"/>
      <c r="K487" s="1"/>
      <c r="L487" s="1"/>
      <c r="M487" s="1"/>
      <c r="N487" s="9"/>
      <c r="O487" s="9"/>
      <c r="P487" s="9"/>
      <c r="Q487" s="1"/>
      <c r="R487" s="1"/>
    </row>
    <row r="488" spans="1:18" x14ac:dyDescent="0.2">
      <c r="A488" s="15"/>
      <c r="B488" s="66"/>
      <c r="C488" s="1"/>
      <c r="D488" s="66"/>
      <c r="E488" s="1"/>
      <c r="F488" s="66"/>
      <c r="G488" s="66"/>
      <c r="H488" s="66"/>
      <c r="I488" s="66"/>
      <c r="J488" s="1"/>
      <c r="K488" s="1"/>
      <c r="L488" s="1"/>
      <c r="M488" s="1"/>
      <c r="N488" s="9"/>
      <c r="O488" s="9"/>
      <c r="P488" s="9"/>
      <c r="Q488" s="1"/>
      <c r="R488" s="1"/>
    </row>
    <row r="489" spans="1:18" x14ac:dyDescent="0.2">
      <c r="A489" s="15"/>
      <c r="B489" s="66"/>
      <c r="C489" s="1"/>
      <c r="D489" s="66"/>
      <c r="E489" s="1"/>
      <c r="F489" s="66"/>
      <c r="G489" s="66"/>
      <c r="H489" s="66"/>
      <c r="I489" s="66"/>
      <c r="J489" s="1"/>
      <c r="K489" s="1"/>
      <c r="L489" s="1"/>
      <c r="M489" s="1"/>
      <c r="N489" s="9"/>
      <c r="O489" s="9"/>
      <c r="P489" s="9"/>
      <c r="Q489" s="1"/>
      <c r="R489" s="1"/>
    </row>
    <row r="490" spans="1:18" x14ac:dyDescent="0.2">
      <c r="A490" s="15"/>
      <c r="B490" s="66"/>
      <c r="C490" s="1"/>
      <c r="D490" s="66"/>
      <c r="E490" s="1"/>
      <c r="F490" s="66"/>
      <c r="G490" s="66"/>
      <c r="H490" s="66"/>
      <c r="I490" s="66"/>
      <c r="J490" s="1"/>
      <c r="K490" s="1"/>
      <c r="L490" s="1"/>
      <c r="M490" s="1"/>
      <c r="N490" s="9"/>
      <c r="O490" s="9"/>
      <c r="P490" s="9"/>
      <c r="Q490" s="1"/>
      <c r="R490" s="1"/>
    </row>
    <row r="491" spans="1:18" x14ac:dyDescent="0.2">
      <c r="A491" s="15"/>
      <c r="B491" s="66"/>
      <c r="C491" s="1"/>
      <c r="D491" s="66"/>
      <c r="E491" s="1"/>
      <c r="F491" s="66"/>
      <c r="G491" s="66"/>
      <c r="H491" s="66"/>
      <c r="I491" s="66"/>
      <c r="J491" s="1"/>
      <c r="K491" s="1"/>
      <c r="L491" s="1"/>
      <c r="M491" s="1"/>
      <c r="N491" s="9"/>
      <c r="O491" s="9"/>
      <c r="P491" s="9"/>
      <c r="Q491" s="1"/>
      <c r="R491" s="1"/>
    </row>
    <row r="492" spans="1:18" x14ac:dyDescent="0.2">
      <c r="A492" s="15"/>
      <c r="B492" s="66"/>
      <c r="C492" s="1"/>
      <c r="D492" s="66"/>
      <c r="E492" s="1"/>
      <c r="F492" s="66"/>
      <c r="G492" s="66"/>
      <c r="H492" s="66"/>
      <c r="I492" s="66"/>
      <c r="J492" s="1"/>
      <c r="K492" s="1"/>
      <c r="L492" s="1"/>
      <c r="M492" s="1"/>
      <c r="N492" s="9"/>
      <c r="O492" s="9"/>
      <c r="P492" s="9"/>
      <c r="Q492" s="1"/>
      <c r="R492" s="1"/>
    </row>
    <row r="493" spans="1:18" x14ac:dyDescent="0.2">
      <c r="A493" s="15"/>
      <c r="B493" s="66"/>
      <c r="C493" s="1"/>
      <c r="D493" s="66"/>
      <c r="E493" s="1"/>
      <c r="F493" s="66"/>
      <c r="G493" s="66"/>
      <c r="H493" s="66"/>
      <c r="I493" s="66"/>
      <c r="J493" s="1"/>
      <c r="K493" s="1"/>
      <c r="L493" s="1"/>
      <c r="M493" s="1"/>
      <c r="N493" s="9"/>
      <c r="O493" s="9"/>
      <c r="P493" s="9"/>
      <c r="Q493" s="1"/>
      <c r="R493" s="1"/>
    </row>
    <row r="494" spans="1:18" x14ac:dyDescent="0.2">
      <c r="A494" s="15"/>
      <c r="B494" s="66"/>
      <c r="C494" s="1"/>
      <c r="D494" s="66"/>
      <c r="E494" s="1"/>
      <c r="F494" s="66"/>
      <c r="G494" s="66"/>
      <c r="H494" s="66"/>
      <c r="I494" s="66"/>
      <c r="J494" s="1"/>
      <c r="K494" s="1"/>
      <c r="L494" s="1"/>
      <c r="M494" s="1"/>
      <c r="N494" s="9"/>
      <c r="O494" s="9"/>
      <c r="P494" s="9"/>
      <c r="Q494" s="1"/>
      <c r="R494" s="1"/>
    </row>
    <row r="495" spans="1:18" x14ac:dyDescent="0.2">
      <c r="A495" s="15"/>
      <c r="B495" s="66"/>
      <c r="C495" s="1"/>
      <c r="D495" s="66"/>
      <c r="E495" s="1"/>
      <c r="F495" s="66"/>
      <c r="G495" s="66"/>
      <c r="H495" s="66"/>
      <c r="I495" s="66"/>
      <c r="J495" s="1"/>
      <c r="K495" s="1"/>
      <c r="L495" s="1"/>
      <c r="M495" s="1"/>
      <c r="N495" s="9"/>
      <c r="O495" s="9"/>
      <c r="P495" s="9"/>
      <c r="Q495" s="1"/>
      <c r="R495" s="1"/>
    </row>
    <row r="496" spans="1:18" x14ac:dyDescent="0.2">
      <c r="A496" s="15"/>
      <c r="B496" s="66"/>
      <c r="C496" s="1"/>
      <c r="D496" s="66"/>
      <c r="E496" s="1"/>
      <c r="F496" s="66"/>
      <c r="G496" s="66"/>
      <c r="H496" s="66"/>
      <c r="I496" s="66"/>
      <c r="J496" s="1"/>
      <c r="K496" s="1"/>
      <c r="L496" s="1"/>
      <c r="M496" s="1"/>
      <c r="N496" s="9"/>
      <c r="O496" s="9"/>
      <c r="P496" s="9"/>
      <c r="Q496" s="1"/>
      <c r="R496" s="1"/>
    </row>
    <row r="497" spans="1:18" x14ac:dyDescent="0.2">
      <c r="A497" s="15"/>
      <c r="B497" s="66"/>
      <c r="C497" s="1"/>
      <c r="D497" s="66"/>
      <c r="E497" s="1"/>
      <c r="F497" s="66"/>
      <c r="G497" s="66"/>
      <c r="H497" s="66"/>
      <c r="I497" s="66"/>
      <c r="J497" s="1"/>
      <c r="K497" s="1"/>
      <c r="L497" s="1"/>
      <c r="M497" s="1"/>
      <c r="N497" s="9"/>
      <c r="O497" s="9"/>
      <c r="P497" s="9"/>
      <c r="Q497" s="1"/>
      <c r="R497" s="1"/>
    </row>
    <row r="498" spans="1:18" x14ac:dyDescent="0.2">
      <c r="A498" s="15"/>
      <c r="B498" s="66"/>
      <c r="C498" s="1"/>
      <c r="D498" s="66"/>
      <c r="E498" s="1"/>
      <c r="F498" s="66"/>
      <c r="G498" s="66"/>
      <c r="H498" s="66"/>
      <c r="I498" s="66"/>
      <c r="J498" s="1"/>
      <c r="K498" s="1"/>
      <c r="L498" s="1"/>
      <c r="M498" s="1"/>
      <c r="N498" s="9"/>
      <c r="O498" s="9"/>
      <c r="P498" s="9"/>
      <c r="Q498" s="1"/>
      <c r="R498" s="1"/>
    </row>
    <row r="499" spans="1:18" x14ac:dyDescent="0.2">
      <c r="A499" s="15"/>
      <c r="B499" s="66"/>
      <c r="C499" s="1"/>
      <c r="D499" s="66"/>
      <c r="E499" s="1"/>
      <c r="F499" s="66"/>
      <c r="G499" s="66"/>
      <c r="H499" s="66"/>
      <c r="I499" s="66"/>
      <c r="J499" s="1"/>
      <c r="K499" s="1"/>
      <c r="L499" s="1"/>
      <c r="M499" s="1"/>
      <c r="N499" s="9"/>
      <c r="O499" s="9"/>
      <c r="P499" s="9"/>
      <c r="Q499" s="1"/>
      <c r="R499" s="1"/>
    </row>
    <row r="500" spans="1:18" x14ac:dyDescent="0.2">
      <c r="A500" s="15"/>
      <c r="B500" s="66"/>
      <c r="C500" s="1"/>
      <c r="D500" s="66"/>
      <c r="E500" s="1"/>
      <c r="F500" s="66"/>
      <c r="G500" s="66"/>
      <c r="H500" s="66"/>
      <c r="I500" s="66"/>
      <c r="J500" s="1"/>
      <c r="K500" s="1"/>
      <c r="L500" s="1"/>
      <c r="M500" s="1"/>
      <c r="N500" s="9"/>
      <c r="O500" s="9"/>
      <c r="P500" s="9"/>
      <c r="Q500" s="1"/>
      <c r="R500" s="1"/>
    </row>
    <row r="501" spans="1:18" x14ac:dyDescent="0.2">
      <c r="A501" s="15"/>
      <c r="B501" s="66"/>
      <c r="C501" s="1"/>
      <c r="D501" s="66"/>
      <c r="E501" s="1"/>
      <c r="F501" s="66"/>
      <c r="G501" s="66"/>
      <c r="H501" s="66"/>
      <c r="I501" s="66"/>
      <c r="J501" s="1"/>
      <c r="K501" s="1"/>
      <c r="L501" s="1"/>
      <c r="M501" s="1"/>
      <c r="N501" s="9"/>
      <c r="O501" s="9"/>
      <c r="P501" s="9"/>
      <c r="Q501" s="1"/>
      <c r="R501" s="1"/>
    </row>
    <row r="502" spans="1:18" x14ac:dyDescent="0.2">
      <c r="A502" s="15"/>
      <c r="B502" s="66"/>
      <c r="C502" s="1"/>
      <c r="D502" s="66"/>
      <c r="E502" s="1"/>
      <c r="F502" s="66"/>
      <c r="G502" s="66"/>
      <c r="H502" s="66"/>
      <c r="I502" s="66"/>
      <c r="J502" s="1"/>
      <c r="K502" s="1"/>
      <c r="L502" s="1"/>
      <c r="M502" s="1"/>
      <c r="N502" s="9"/>
      <c r="O502" s="9"/>
      <c r="P502" s="9"/>
      <c r="Q502" s="1"/>
      <c r="R502" s="1"/>
    </row>
    <row r="503" spans="1:18" x14ac:dyDescent="0.2">
      <c r="A503" s="15"/>
      <c r="B503" s="66"/>
      <c r="C503" s="1"/>
      <c r="D503" s="66"/>
      <c r="E503" s="1"/>
      <c r="F503" s="66"/>
      <c r="G503" s="66"/>
      <c r="H503" s="66"/>
      <c r="I503" s="66"/>
      <c r="J503" s="1"/>
      <c r="K503" s="1"/>
      <c r="L503" s="1"/>
      <c r="M503" s="1"/>
      <c r="N503" s="9"/>
      <c r="O503" s="9"/>
      <c r="P503" s="9"/>
      <c r="Q503" s="1"/>
      <c r="R503" s="1"/>
    </row>
    <row r="504" spans="1:18" x14ac:dyDescent="0.2">
      <c r="A504" s="15"/>
      <c r="B504" s="66"/>
      <c r="C504" s="1"/>
      <c r="D504" s="66"/>
      <c r="E504" s="1"/>
      <c r="F504" s="66"/>
      <c r="G504" s="66"/>
      <c r="H504" s="66"/>
      <c r="I504" s="66"/>
      <c r="J504" s="1"/>
      <c r="K504" s="1"/>
      <c r="L504" s="1"/>
      <c r="M504" s="1"/>
      <c r="N504" s="9"/>
      <c r="O504" s="9"/>
      <c r="P504" s="9"/>
      <c r="Q504" s="1"/>
      <c r="R504" s="1"/>
    </row>
    <row r="505" spans="1:18" x14ac:dyDescent="0.2">
      <c r="A505" s="15"/>
      <c r="B505" s="66"/>
      <c r="C505" s="1"/>
      <c r="D505" s="66"/>
      <c r="E505" s="1"/>
      <c r="F505" s="66"/>
      <c r="G505" s="66"/>
      <c r="H505" s="66"/>
      <c r="I505" s="66"/>
      <c r="J505" s="1"/>
      <c r="K505" s="1"/>
      <c r="L505" s="1"/>
      <c r="M505" s="1"/>
      <c r="N505" s="9"/>
      <c r="O505" s="9"/>
      <c r="P505" s="9"/>
      <c r="Q505" s="1"/>
      <c r="R505" s="1"/>
    </row>
    <row r="506" spans="1:18" x14ac:dyDescent="0.2">
      <c r="A506" s="15"/>
      <c r="B506" s="66"/>
      <c r="C506" s="1"/>
      <c r="D506" s="66"/>
      <c r="E506" s="1"/>
      <c r="F506" s="66"/>
      <c r="G506" s="66"/>
      <c r="H506" s="66"/>
      <c r="I506" s="66"/>
      <c r="J506" s="1"/>
      <c r="K506" s="1"/>
      <c r="L506" s="1"/>
      <c r="M506" s="1"/>
      <c r="N506" s="9"/>
      <c r="O506" s="9"/>
      <c r="P506" s="9"/>
      <c r="Q506" s="1"/>
      <c r="R506" s="1"/>
    </row>
    <row r="507" spans="1:18" x14ac:dyDescent="0.2">
      <c r="A507" s="15"/>
      <c r="B507" s="66"/>
      <c r="C507" s="1"/>
      <c r="D507" s="66"/>
      <c r="E507" s="1"/>
      <c r="F507" s="66"/>
      <c r="G507" s="66"/>
      <c r="H507" s="66"/>
      <c r="I507" s="66"/>
      <c r="J507" s="1"/>
      <c r="K507" s="1"/>
      <c r="L507" s="1"/>
      <c r="M507" s="1"/>
      <c r="N507" s="9"/>
      <c r="O507" s="9"/>
      <c r="P507" s="9"/>
      <c r="Q507" s="1"/>
      <c r="R507" s="1"/>
    </row>
    <row r="508" spans="1:18" x14ac:dyDescent="0.2">
      <c r="A508" s="15"/>
      <c r="B508" s="66"/>
      <c r="C508" s="1"/>
      <c r="D508" s="66"/>
      <c r="E508" s="1"/>
      <c r="F508" s="66"/>
      <c r="G508" s="66"/>
      <c r="H508" s="66"/>
      <c r="I508" s="66"/>
      <c r="J508" s="1"/>
      <c r="K508" s="1"/>
      <c r="L508" s="1"/>
      <c r="M508" s="1"/>
      <c r="N508" s="9"/>
      <c r="O508" s="9"/>
      <c r="P508" s="9"/>
      <c r="Q508" s="1"/>
      <c r="R508" s="1"/>
    </row>
    <row r="509" spans="1:18" x14ac:dyDescent="0.2">
      <c r="A509" s="15"/>
      <c r="B509" s="66"/>
      <c r="C509" s="1"/>
      <c r="D509" s="66"/>
      <c r="E509" s="1"/>
      <c r="F509" s="66"/>
      <c r="G509" s="66"/>
      <c r="H509" s="66"/>
      <c r="I509" s="66"/>
      <c r="J509" s="1"/>
      <c r="K509" s="1"/>
      <c r="L509" s="1"/>
      <c r="M509" s="1"/>
      <c r="N509" s="9"/>
      <c r="O509" s="9"/>
      <c r="P509" s="9"/>
      <c r="Q509" s="1"/>
      <c r="R509" s="1"/>
    </row>
    <row r="510" spans="1:18" x14ac:dyDescent="0.2">
      <c r="A510" s="15"/>
      <c r="B510" s="66"/>
      <c r="C510" s="1"/>
      <c r="D510" s="66"/>
      <c r="E510" s="1"/>
      <c r="F510" s="66"/>
      <c r="G510" s="66"/>
      <c r="H510" s="66"/>
      <c r="I510" s="66"/>
      <c r="J510" s="1"/>
      <c r="K510" s="1"/>
      <c r="L510" s="1"/>
      <c r="M510" s="1"/>
      <c r="N510" s="9"/>
      <c r="O510" s="9"/>
      <c r="P510" s="9"/>
      <c r="Q510" s="1"/>
      <c r="R510" s="1"/>
    </row>
    <row r="511" spans="1:18" x14ac:dyDescent="0.2">
      <c r="A511" s="15"/>
      <c r="B511" s="66"/>
      <c r="C511" s="1"/>
      <c r="D511" s="66"/>
      <c r="E511" s="1"/>
      <c r="F511" s="66"/>
      <c r="G511" s="66"/>
      <c r="H511" s="66"/>
      <c r="I511" s="66"/>
      <c r="J511" s="1"/>
      <c r="K511" s="1"/>
      <c r="L511" s="1"/>
      <c r="M511" s="1"/>
      <c r="N511" s="9"/>
      <c r="O511" s="9"/>
      <c r="P511" s="9"/>
      <c r="Q511" s="1"/>
      <c r="R511" s="1"/>
    </row>
    <row r="512" spans="1:18" x14ac:dyDescent="0.2">
      <c r="A512" s="15"/>
      <c r="B512" s="66"/>
      <c r="C512" s="1"/>
      <c r="D512" s="66"/>
      <c r="E512" s="1"/>
      <c r="F512" s="66"/>
      <c r="G512" s="66"/>
      <c r="H512" s="66"/>
      <c r="I512" s="66"/>
      <c r="J512" s="1"/>
      <c r="K512" s="1"/>
      <c r="L512" s="1"/>
      <c r="M512" s="1"/>
      <c r="N512" s="9"/>
      <c r="O512" s="9"/>
      <c r="P512" s="9"/>
      <c r="Q512" s="1"/>
      <c r="R512" s="1"/>
    </row>
    <row r="513" spans="1:18" x14ac:dyDescent="0.2">
      <c r="A513" s="15"/>
      <c r="B513" s="66"/>
      <c r="C513" s="1"/>
      <c r="D513" s="66"/>
      <c r="E513" s="1"/>
      <c r="F513" s="66"/>
      <c r="G513" s="66"/>
      <c r="H513" s="66"/>
      <c r="I513" s="66"/>
      <c r="J513" s="1"/>
      <c r="K513" s="1"/>
      <c r="L513" s="1"/>
      <c r="M513" s="1"/>
      <c r="N513" s="9"/>
      <c r="O513" s="9"/>
      <c r="P513" s="9"/>
      <c r="Q513" s="1"/>
      <c r="R513" s="1"/>
    </row>
    <row r="514" spans="1:18" x14ac:dyDescent="0.2">
      <c r="A514" s="15"/>
      <c r="B514" s="66"/>
      <c r="C514" s="1"/>
      <c r="D514" s="66"/>
      <c r="E514" s="1"/>
      <c r="F514" s="66"/>
      <c r="G514" s="66"/>
      <c r="H514" s="66"/>
      <c r="I514" s="66"/>
      <c r="J514" s="1"/>
      <c r="K514" s="1"/>
      <c r="L514" s="1"/>
      <c r="M514" s="1"/>
      <c r="N514" s="9"/>
      <c r="O514" s="9"/>
      <c r="P514" s="9"/>
      <c r="Q514" s="1"/>
      <c r="R514" s="1"/>
    </row>
    <row r="515" spans="1:18" x14ac:dyDescent="0.2">
      <c r="A515" s="15"/>
      <c r="B515" s="66"/>
      <c r="C515" s="1"/>
      <c r="D515" s="66"/>
      <c r="E515" s="1"/>
      <c r="F515" s="66"/>
      <c r="G515" s="66"/>
      <c r="H515" s="66"/>
      <c r="I515" s="66"/>
      <c r="J515" s="1"/>
      <c r="K515" s="1"/>
      <c r="L515" s="1"/>
      <c r="M515" s="1"/>
      <c r="N515" s="9"/>
      <c r="O515" s="9"/>
      <c r="P515" s="9"/>
      <c r="Q515" s="1"/>
      <c r="R515" s="1"/>
    </row>
    <row r="516" spans="1:18" x14ac:dyDescent="0.2">
      <c r="A516" s="15"/>
      <c r="B516" s="66"/>
      <c r="C516" s="1"/>
      <c r="D516" s="66"/>
      <c r="E516" s="1"/>
      <c r="F516" s="66"/>
      <c r="G516" s="66"/>
      <c r="H516" s="66"/>
      <c r="I516" s="66"/>
      <c r="J516" s="1"/>
      <c r="K516" s="1"/>
      <c r="L516" s="1"/>
      <c r="M516" s="1"/>
      <c r="N516" s="9"/>
      <c r="O516" s="9"/>
      <c r="P516" s="9"/>
      <c r="Q516" s="1"/>
      <c r="R516" s="1"/>
    </row>
    <row r="517" spans="1:18" x14ac:dyDescent="0.2">
      <c r="A517" s="15"/>
      <c r="B517" s="66"/>
      <c r="C517" s="1"/>
      <c r="D517" s="66"/>
      <c r="E517" s="1"/>
      <c r="F517" s="66"/>
      <c r="G517" s="66"/>
      <c r="H517" s="66"/>
      <c r="I517" s="66"/>
      <c r="J517" s="1"/>
      <c r="K517" s="1"/>
      <c r="L517" s="1"/>
      <c r="M517" s="1"/>
      <c r="N517" s="9"/>
      <c r="O517" s="9"/>
      <c r="P517" s="9"/>
      <c r="Q517" s="1"/>
      <c r="R517" s="1"/>
    </row>
    <row r="518" spans="1:18" x14ac:dyDescent="0.2">
      <c r="A518" s="15"/>
      <c r="B518" s="66"/>
      <c r="C518" s="1"/>
      <c r="D518" s="66"/>
      <c r="E518" s="1"/>
      <c r="F518" s="66"/>
      <c r="G518" s="66"/>
      <c r="H518" s="66"/>
      <c r="I518" s="66"/>
      <c r="J518" s="1"/>
      <c r="K518" s="1"/>
      <c r="L518" s="1"/>
      <c r="M518" s="1"/>
      <c r="N518" s="9"/>
      <c r="O518" s="9"/>
      <c r="P518" s="9"/>
      <c r="Q518" s="1"/>
      <c r="R518" s="1"/>
    </row>
    <row r="519" spans="1:18" x14ac:dyDescent="0.2">
      <c r="A519" s="15"/>
      <c r="B519" s="66"/>
      <c r="C519" s="1"/>
      <c r="D519" s="66"/>
      <c r="E519" s="1"/>
      <c r="F519" s="66"/>
      <c r="G519" s="66"/>
      <c r="H519" s="66"/>
      <c r="I519" s="66"/>
      <c r="J519" s="1"/>
      <c r="K519" s="1"/>
      <c r="L519" s="1"/>
      <c r="M519" s="1"/>
      <c r="N519" s="9"/>
      <c r="O519" s="9"/>
      <c r="P519" s="9"/>
      <c r="Q519" s="1"/>
      <c r="R519" s="1"/>
    </row>
    <row r="520" spans="1:18" x14ac:dyDescent="0.2">
      <c r="A520" s="15"/>
      <c r="B520" s="66"/>
      <c r="C520" s="1"/>
      <c r="D520" s="66"/>
      <c r="E520" s="1"/>
      <c r="F520" s="66"/>
      <c r="G520" s="66"/>
      <c r="H520" s="66"/>
      <c r="I520" s="66"/>
      <c r="J520" s="1"/>
      <c r="K520" s="1"/>
      <c r="L520" s="1"/>
      <c r="M520" s="1"/>
      <c r="N520" s="9"/>
      <c r="O520" s="9"/>
      <c r="P520" s="9"/>
      <c r="Q520" s="1"/>
      <c r="R520" s="1"/>
    </row>
    <row r="521" spans="1:18" x14ac:dyDescent="0.2">
      <c r="A521" s="15"/>
      <c r="B521" s="66"/>
      <c r="C521" s="1"/>
      <c r="D521" s="66"/>
      <c r="E521" s="1"/>
      <c r="F521" s="66"/>
      <c r="G521" s="66"/>
      <c r="H521" s="66"/>
      <c r="I521" s="66"/>
      <c r="J521" s="1"/>
      <c r="K521" s="1"/>
      <c r="L521" s="1"/>
      <c r="M521" s="1"/>
      <c r="N521" s="9"/>
      <c r="O521" s="9"/>
      <c r="P521" s="9"/>
      <c r="Q521" s="1"/>
      <c r="R521" s="1"/>
    </row>
    <row r="522" spans="1:18" x14ac:dyDescent="0.2">
      <c r="A522" s="15"/>
      <c r="B522" s="66"/>
      <c r="C522" s="1"/>
      <c r="D522" s="66"/>
      <c r="E522" s="1"/>
      <c r="F522" s="66"/>
      <c r="G522" s="66"/>
      <c r="H522" s="66"/>
      <c r="I522" s="66"/>
      <c r="J522" s="1"/>
      <c r="K522" s="1"/>
      <c r="L522" s="1"/>
      <c r="M522" s="1"/>
      <c r="N522" s="9"/>
      <c r="O522" s="9"/>
      <c r="P522" s="9"/>
      <c r="Q522" s="1"/>
      <c r="R522" s="1"/>
    </row>
    <row r="523" spans="1:18" x14ac:dyDescent="0.2">
      <c r="A523" s="15"/>
      <c r="B523" s="66"/>
      <c r="C523" s="1"/>
      <c r="D523" s="66"/>
      <c r="E523" s="1"/>
      <c r="F523" s="66"/>
      <c r="G523" s="66"/>
      <c r="H523" s="66"/>
      <c r="I523" s="66"/>
      <c r="J523" s="1"/>
      <c r="K523" s="1"/>
      <c r="L523" s="1"/>
      <c r="M523" s="1"/>
      <c r="N523" s="9"/>
      <c r="O523" s="9"/>
      <c r="P523" s="9"/>
      <c r="Q523" s="1"/>
      <c r="R523" s="1"/>
    </row>
    <row r="524" spans="1:18" x14ac:dyDescent="0.2">
      <c r="A524" s="15"/>
      <c r="B524" s="66"/>
      <c r="C524" s="1"/>
      <c r="D524" s="66"/>
      <c r="E524" s="1"/>
      <c r="F524" s="66"/>
      <c r="G524" s="66"/>
      <c r="H524" s="66"/>
      <c r="I524" s="66"/>
      <c r="J524" s="1"/>
      <c r="K524" s="1"/>
      <c r="L524" s="1"/>
      <c r="M524" s="1"/>
      <c r="N524" s="9"/>
      <c r="O524" s="9"/>
      <c r="P524" s="9"/>
      <c r="Q524" s="1"/>
      <c r="R524" s="1"/>
    </row>
    <row r="525" spans="1:18" x14ac:dyDescent="0.2">
      <c r="A525" s="15"/>
      <c r="B525" s="66"/>
      <c r="C525" s="1"/>
      <c r="D525" s="66"/>
      <c r="E525" s="1"/>
      <c r="F525" s="66"/>
      <c r="G525" s="66"/>
      <c r="H525" s="66"/>
      <c r="I525" s="66"/>
      <c r="J525" s="1"/>
      <c r="K525" s="1"/>
      <c r="L525" s="1"/>
      <c r="M525" s="1"/>
      <c r="N525" s="9"/>
      <c r="O525" s="9"/>
      <c r="P525" s="9"/>
      <c r="Q525" s="1"/>
      <c r="R525" s="1"/>
    </row>
    <row r="526" spans="1:18" x14ac:dyDescent="0.2">
      <c r="A526" s="15"/>
      <c r="B526" s="66"/>
      <c r="C526" s="1"/>
      <c r="D526" s="66"/>
      <c r="E526" s="1"/>
      <c r="F526" s="66"/>
      <c r="G526" s="66"/>
      <c r="H526" s="66"/>
      <c r="I526" s="66"/>
      <c r="J526" s="1"/>
      <c r="K526" s="1"/>
      <c r="L526" s="1"/>
      <c r="M526" s="1"/>
      <c r="N526" s="9"/>
      <c r="O526" s="9"/>
      <c r="P526" s="9"/>
      <c r="Q526" s="1"/>
      <c r="R526" s="1"/>
    </row>
    <row r="527" spans="1:18" x14ac:dyDescent="0.2">
      <c r="A527" s="15"/>
      <c r="B527" s="66"/>
      <c r="C527" s="1"/>
      <c r="D527" s="66"/>
      <c r="E527" s="1"/>
      <c r="F527" s="66"/>
      <c r="G527" s="66"/>
      <c r="H527" s="66"/>
      <c r="I527" s="66"/>
      <c r="J527" s="1"/>
      <c r="K527" s="1"/>
      <c r="L527" s="1"/>
      <c r="M527" s="1"/>
      <c r="N527" s="9"/>
      <c r="O527" s="9"/>
      <c r="P527" s="9"/>
      <c r="Q527" s="1"/>
      <c r="R527" s="1"/>
    </row>
    <row r="528" spans="1:18" x14ac:dyDescent="0.2">
      <c r="A528" s="15"/>
      <c r="B528" s="66"/>
      <c r="C528" s="1"/>
      <c r="D528" s="66"/>
      <c r="E528" s="1"/>
      <c r="F528" s="66"/>
      <c r="G528" s="66"/>
      <c r="H528" s="66"/>
      <c r="I528" s="66"/>
      <c r="J528" s="1"/>
      <c r="K528" s="1"/>
      <c r="L528" s="1"/>
      <c r="M528" s="1"/>
      <c r="N528" s="9"/>
      <c r="O528" s="9"/>
      <c r="P528" s="9"/>
      <c r="Q528" s="1"/>
      <c r="R528" s="1"/>
    </row>
    <row r="529" spans="1:18" x14ac:dyDescent="0.2">
      <c r="A529" s="15"/>
      <c r="B529" s="66"/>
      <c r="C529" s="1"/>
      <c r="D529" s="66"/>
      <c r="E529" s="1"/>
      <c r="F529" s="66"/>
      <c r="G529" s="66"/>
      <c r="H529" s="66"/>
      <c r="I529" s="66"/>
      <c r="J529" s="1"/>
      <c r="K529" s="1"/>
      <c r="L529" s="1"/>
      <c r="M529" s="1"/>
      <c r="N529" s="9"/>
      <c r="O529" s="9"/>
      <c r="P529" s="9"/>
      <c r="Q529" s="1"/>
      <c r="R529" s="1"/>
    </row>
    <row r="530" spans="1:18" x14ac:dyDescent="0.2">
      <c r="A530" s="15"/>
      <c r="B530" s="66"/>
      <c r="C530" s="1"/>
      <c r="D530" s="66"/>
      <c r="E530" s="1"/>
      <c r="F530" s="66"/>
      <c r="G530" s="66"/>
      <c r="H530" s="66"/>
      <c r="I530" s="66"/>
      <c r="J530" s="1"/>
      <c r="K530" s="1"/>
      <c r="L530" s="1"/>
      <c r="M530" s="1"/>
      <c r="N530" s="9"/>
      <c r="O530" s="9"/>
      <c r="P530" s="9"/>
      <c r="Q530" s="1"/>
      <c r="R530" s="1"/>
    </row>
    <row r="531" spans="1:18" x14ac:dyDescent="0.2">
      <c r="A531" s="15"/>
      <c r="B531" s="66"/>
      <c r="C531" s="1"/>
      <c r="D531" s="66"/>
      <c r="E531" s="1"/>
      <c r="F531" s="66"/>
      <c r="G531" s="66"/>
      <c r="H531" s="66"/>
      <c r="I531" s="66"/>
      <c r="J531" s="1"/>
      <c r="K531" s="1"/>
      <c r="L531" s="1"/>
      <c r="M531" s="1"/>
      <c r="N531" s="9"/>
      <c r="O531" s="9"/>
      <c r="P531" s="9"/>
      <c r="Q531" s="1"/>
      <c r="R531" s="1"/>
    </row>
    <row r="532" spans="1:18" x14ac:dyDescent="0.2">
      <c r="A532" s="15"/>
      <c r="B532" s="66"/>
      <c r="C532" s="1"/>
      <c r="D532" s="66"/>
      <c r="E532" s="1"/>
      <c r="F532" s="66"/>
      <c r="G532" s="66"/>
      <c r="H532" s="66"/>
      <c r="I532" s="66"/>
      <c r="J532" s="1"/>
      <c r="K532" s="1"/>
      <c r="L532" s="1"/>
      <c r="M532" s="1"/>
      <c r="N532" s="9"/>
      <c r="O532" s="9"/>
      <c r="P532" s="9"/>
      <c r="Q532" s="1"/>
      <c r="R532" s="1"/>
    </row>
    <row r="533" spans="1:18" x14ac:dyDescent="0.2">
      <c r="A533" s="15"/>
      <c r="B533" s="66"/>
      <c r="C533" s="1"/>
      <c r="D533" s="66"/>
      <c r="E533" s="1"/>
      <c r="F533" s="66"/>
      <c r="G533" s="66"/>
      <c r="H533" s="66"/>
      <c r="I533" s="66"/>
      <c r="J533" s="1"/>
      <c r="K533" s="1"/>
      <c r="L533" s="1"/>
      <c r="M533" s="1"/>
      <c r="N533" s="9"/>
      <c r="O533" s="9"/>
      <c r="P533" s="9"/>
      <c r="Q533" s="1"/>
      <c r="R533" s="1"/>
    </row>
    <row r="534" spans="1:18" x14ac:dyDescent="0.2">
      <c r="A534" s="15"/>
      <c r="B534" s="66"/>
      <c r="C534" s="1"/>
      <c r="D534" s="66"/>
      <c r="E534" s="1"/>
      <c r="F534" s="66"/>
      <c r="G534" s="66"/>
      <c r="H534" s="66"/>
      <c r="I534" s="66"/>
      <c r="J534" s="1"/>
      <c r="K534" s="1"/>
      <c r="L534" s="1"/>
      <c r="M534" s="1"/>
      <c r="N534" s="9"/>
      <c r="O534" s="9"/>
      <c r="P534" s="9"/>
      <c r="Q534" s="1"/>
      <c r="R534" s="1"/>
    </row>
    <row r="535" spans="1:18" x14ac:dyDescent="0.2">
      <c r="A535" s="15"/>
      <c r="B535" s="66"/>
      <c r="C535" s="1"/>
      <c r="D535" s="66"/>
      <c r="E535" s="1"/>
      <c r="F535" s="66"/>
      <c r="G535" s="66"/>
      <c r="H535" s="66"/>
      <c r="I535" s="66"/>
      <c r="J535" s="1"/>
      <c r="K535" s="1"/>
      <c r="L535" s="1"/>
      <c r="M535" s="1"/>
      <c r="N535" s="9"/>
      <c r="O535" s="9"/>
      <c r="P535" s="9"/>
      <c r="Q535" s="1"/>
      <c r="R535" s="1"/>
    </row>
    <row r="536" spans="1:18" x14ac:dyDescent="0.2">
      <c r="A536" s="15"/>
      <c r="B536" s="66"/>
      <c r="C536" s="1"/>
      <c r="D536" s="66"/>
      <c r="E536" s="1"/>
      <c r="F536" s="66"/>
      <c r="G536" s="66"/>
      <c r="H536" s="66"/>
      <c r="I536" s="66"/>
      <c r="J536" s="1"/>
      <c r="K536" s="1"/>
      <c r="L536" s="1"/>
      <c r="M536" s="1"/>
      <c r="N536" s="9"/>
      <c r="O536" s="9"/>
      <c r="P536" s="9"/>
      <c r="Q536" s="1"/>
      <c r="R536" s="1"/>
    </row>
    <row r="537" spans="1:18" x14ac:dyDescent="0.2">
      <c r="A537" s="15"/>
      <c r="B537" s="66"/>
      <c r="C537" s="1"/>
      <c r="D537" s="66"/>
      <c r="E537" s="1"/>
      <c r="F537" s="66"/>
      <c r="G537" s="66"/>
      <c r="H537" s="66"/>
      <c r="I537" s="66"/>
      <c r="J537" s="1"/>
      <c r="K537" s="1"/>
      <c r="L537" s="1"/>
      <c r="M537" s="1"/>
      <c r="N537" s="9"/>
      <c r="O537" s="9"/>
      <c r="P537" s="9"/>
      <c r="Q537" s="1"/>
      <c r="R537" s="1"/>
    </row>
    <row r="538" spans="1:18" x14ac:dyDescent="0.2">
      <c r="A538" s="15"/>
      <c r="B538" s="66"/>
      <c r="C538" s="1"/>
      <c r="D538" s="66"/>
      <c r="E538" s="1"/>
      <c r="F538" s="66"/>
      <c r="G538" s="66"/>
      <c r="H538" s="66"/>
      <c r="I538" s="66"/>
      <c r="J538" s="1"/>
      <c r="K538" s="1"/>
      <c r="L538" s="1"/>
      <c r="M538" s="1"/>
      <c r="N538" s="9"/>
      <c r="O538" s="9"/>
      <c r="P538" s="9"/>
      <c r="Q538" s="1"/>
      <c r="R538" s="1"/>
    </row>
    <row r="539" spans="1:18" x14ac:dyDescent="0.2">
      <c r="A539" s="15"/>
      <c r="B539" s="66"/>
      <c r="C539" s="1"/>
      <c r="D539" s="66"/>
      <c r="E539" s="1"/>
      <c r="F539" s="66"/>
      <c r="G539" s="66"/>
      <c r="H539" s="66"/>
      <c r="I539" s="66"/>
      <c r="J539" s="1"/>
      <c r="K539" s="1"/>
      <c r="L539" s="1"/>
      <c r="M539" s="1"/>
      <c r="N539" s="9"/>
      <c r="O539" s="9"/>
      <c r="P539" s="9"/>
      <c r="Q539" s="1"/>
      <c r="R539" s="1"/>
    </row>
    <row r="540" spans="1:18" x14ac:dyDescent="0.2">
      <c r="A540" s="15"/>
      <c r="B540" s="66"/>
      <c r="C540" s="1"/>
      <c r="D540" s="66"/>
      <c r="E540" s="1"/>
      <c r="F540" s="66"/>
      <c r="G540" s="66"/>
      <c r="H540" s="66"/>
      <c r="I540" s="66"/>
      <c r="J540" s="1"/>
      <c r="K540" s="1"/>
      <c r="L540" s="1"/>
      <c r="M540" s="1"/>
      <c r="N540" s="9"/>
      <c r="O540" s="9"/>
      <c r="P540" s="9"/>
      <c r="Q540" s="1"/>
      <c r="R540" s="1"/>
    </row>
    <row r="541" spans="1:18" x14ac:dyDescent="0.2">
      <c r="A541" s="15"/>
      <c r="B541" s="66"/>
      <c r="C541" s="1"/>
      <c r="D541" s="66"/>
      <c r="E541" s="1"/>
      <c r="F541" s="66"/>
      <c r="G541" s="66"/>
      <c r="H541" s="66"/>
      <c r="I541" s="66"/>
      <c r="J541" s="1"/>
      <c r="K541" s="1"/>
      <c r="L541" s="1"/>
      <c r="M541" s="1"/>
      <c r="N541" s="9"/>
      <c r="O541" s="9"/>
      <c r="P541" s="9"/>
      <c r="Q541" s="1"/>
      <c r="R541" s="1"/>
    </row>
    <row r="542" spans="1:18" x14ac:dyDescent="0.2">
      <c r="A542" s="15"/>
      <c r="B542" s="66"/>
      <c r="C542" s="1"/>
      <c r="D542" s="66"/>
      <c r="E542" s="1"/>
      <c r="F542" s="66"/>
      <c r="G542" s="66"/>
      <c r="H542" s="66"/>
      <c r="I542" s="66"/>
      <c r="J542" s="1"/>
      <c r="K542" s="1"/>
      <c r="L542" s="1"/>
      <c r="M542" s="1"/>
      <c r="N542" s="9"/>
      <c r="O542" s="9"/>
      <c r="P542" s="9"/>
      <c r="Q542" s="1"/>
      <c r="R542" s="1"/>
    </row>
    <row r="543" spans="1:18" x14ac:dyDescent="0.2">
      <c r="A543" s="15"/>
      <c r="B543" s="66"/>
      <c r="C543" s="1"/>
      <c r="D543" s="66"/>
      <c r="E543" s="1"/>
      <c r="F543" s="66"/>
      <c r="G543" s="66"/>
      <c r="H543" s="66"/>
      <c r="I543" s="66"/>
      <c r="J543" s="1"/>
      <c r="K543" s="1"/>
      <c r="L543" s="1"/>
      <c r="M543" s="1"/>
      <c r="N543" s="9"/>
      <c r="O543" s="9"/>
      <c r="P543" s="9"/>
      <c r="Q543" s="1"/>
      <c r="R543" s="1"/>
    </row>
    <row r="544" spans="1:18" x14ac:dyDescent="0.2">
      <c r="A544" s="15"/>
      <c r="B544" s="66"/>
      <c r="C544" s="1"/>
      <c r="D544" s="66"/>
      <c r="E544" s="1"/>
      <c r="F544" s="66"/>
      <c r="G544" s="66"/>
      <c r="H544" s="66"/>
      <c r="I544" s="66"/>
      <c r="J544" s="1"/>
      <c r="K544" s="1"/>
      <c r="L544" s="1"/>
      <c r="M544" s="1"/>
      <c r="N544" s="9"/>
      <c r="O544" s="9"/>
      <c r="P544" s="9"/>
      <c r="Q544" s="1"/>
      <c r="R544" s="1"/>
    </row>
    <row r="545" spans="1:18" x14ac:dyDescent="0.2">
      <c r="A545" s="15"/>
      <c r="B545" s="66"/>
      <c r="C545" s="1"/>
      <c r="D545" s="66"/>
      <c r="E545" s="1"/>
      <c r="F545" s="66"/>
      <c r="G545" s="66"/>
      <c r="H545" s="66"/>
      <c r="I545" s="66"/>
      <c r="J545" s="1"/>
      <c r="K545" s="1"/>
      <c r="L545" s="1"/>
      <c r="M545" s="1"/>
      <c r="N545" s="9"/>
      <c r="O545" s="9"/>
      <c r="P545" s="9"/>
      <c r="Q545" s="1"/>
      <c r="R545" s="1"/>
    </row>
    <row r="546" spans="1:18" x14ac:dyDescent="0.2">
      <c r="A546" s="15"/>
      <c r="B546" s="66"/>
      <c r="C546" s="1"/>
      <c r="D546" s="66"/>
      <c r="E546" s="1"/>
      <c r="F546" s="66"/>
      <c r="G546" s="66"/>
      <c r="H546" s="66"/>
      <c r="I546" s="66"/>
      <c r="J546" s="1"/>
      <c r="K546" s="1"/>
      <c r="L546" s="1"/>
      <c r="M546" s="1"/>
      <c r="N546" s="9"/>
      <c r="O546" s="9"/>
      <c r="P546" s="9"/>
      <c r="Q546" s="1"/>
      <c r="R546" s="1"/>
    </row>
    <row r="547" spans="1:18" x14ac:dyDescent="0.2">
      <c r="A547" s="15"/>
      <c r="B547" s="66"/>
      <c r="C547" s="1"/>
      <c r="D547" s="66"/>
      <c r="E547" s="1"/>
      <c r="F547" s="66"/>
      <c r="G547" s="66"/>
      <c r="H547" s="66"/>
      <c r="I547" s="66"/>
      <c r="J547" s="1"/>
      <c r="K547" s="1"/>
      <c r="L547" s="1"/>
      <c r="M547" s="1"/>
      <c r="N547" s="9"/>
      <c r="O547" s="9"/>
      <c r="P547" s="9"/>
      <c r="Q547" s="1"/>
      <c r="R547" s="1"/>
    </row>
    <row r="548" spans="1:18" x14ac:dyDescent="0.2">
      <c r="A548" s="15"/>
      <c r="B548" s="66"/>
      <c r="C548" s="1"/>
      <c r="D548" s="66"/>
      <c r="E548" s="1"/>
      <c r="F548" s="66"/>
      <c r="G548" s="66"/>
      <c r="H548" s="66"/>
      <c r="I548" s="66"/>
      <c r="J548" s="1"/>
      <c r="K548" s="1"/>
      <c r="L548" s="1"/>
      <c r="M548" s="1"/>
      <c r="N548" s="9"/>
      <c r="O548" s="9"/>
      <c r="P548" s="9"/>
      <c r="Q548" s="1"/>
      <c r="R548" s="1"/>
    </row>
    <row r="549" spans="1:18" x14ac:dyDescent="0.2">
      <c r="A549" s="15"/>
      <c r="B549" s="66"/>
      <c r="C549" s="1"/>
      <c r="D549" s="66"/>
      <c r="E549" s="1"/>
      <c r="F549" s="66"/>
      <c r="G549" s="66"/>
      <c r="H549" s="66"/>
      <c r="I549" s="66"/>
      <c r="J549" s="1"/>
      <c r="K549" s="1"/>
      <c r="L549" s="1"/>
      <c r="M549" s="1"/>
      <c r="N549" s="9"/>
      <c r="O549" s="9"/>
      <c r="P549" s="9"/>
      <c r="Q549" s="1"/>
      <c r="R549" s="1"/>
    </row>
    <row r="550" spans="1:18" x14ac:dyDescent="0.2">
      <c r="A550" s="15"/>
      <c r="B550" s="66"/>
      <c r="C550" s="1"/>
      <c r="D550" s="66"/>
      <c r="E550" s="1"/>
      <c r="F550" s="66"/>
      <c r="G550" s="66"/>
      <c r="H550" s="66"/>
      <c r="I550" s="66"/>
      <c r="J550" s="1"/>
      <c r="K550" s="1"/>
      <c r="L550" s="1"/>
      <c r="M550" s="1"/>
      <c r="N550" s="9"/>
      <c r="O550" s="9"/>
      <c r="P550" s="9"/>
      <c r="Q550" s="1"/>
      <c r="R550" s="1"/>
    </row>
    <row r="551" spans="1:18" x14ac:dyDescent="0.2">
      <c r="A551" s="15"/>
      <c r="B551" s="66"/>
      <c r="C551" s="1"/>
      <c r="D551" s="66"/>
      <c r="E551" s="1"/>
      <c r="F551" s="66"/>
      <c r="G551" s="66"/>
      <c r="H551" s="66"/>
      <c r="I551" s="66"/>
      <c r="J551" s="1"/>
      <c r="K551" s="1"/>
      <c r="L551" s="1"/>
      <c r="M551" s="1"/>
      <c r="N551" s="9"/>
      <c r="O551" s="9"/>
      <c r="P551" s="9"/>
      <c r="Q551" s="1"/>
      <c r="R551" s="1"/>
    </row>
    <row r="552" spans="1:18" x14ac:dyDescent="0.2">
      <c r="A552" s="15"/>
      <c r="B552" s="66"/>
      <c r="C552" s="1"/>
      <c r="D552" s="66"/>
      <c r="E552" s="1"/>
      <c r="F552" s="66"/>
      <c r="G552" s="66"/>
      <c r="H552" s="66"/>
      <c r="I552" s="66"/>
      <c r="J552" s="1"/>
      <c r="K552" s="1"/>
      <c r="L552" s="1"/>
      <c r="M552" s="1"/>
      <c r="N552" s="9"/>
      <c r="O552" s="9"/>
      <c r="P552" s="9"/>
      <c r="Q552" s="1"/>
      <c r="R552" s="1"/>
    </row>
    <row r="553" spans="1:18" x14ac:dyDescent="0.2">
      <c r="A553" s="15"/>
      <c r="B553" s="66"/>
      <c r="C553" s="1"/>
      <c r="D553" s="66"/>
      <c r="E553" s="1"/>
      <c r="F553" s="66"/>
      <c r="G553" s="66"/>
      <c r="H553" s="66"/>
      <c r="I553" s="66"/>
      <c r="J553" s="1"/>
      <c r="K553" s="1"/>
      <c r="L553" s="1"/>
      <c r="M553" s="1"/>
      <c r="N553" s="9"/>
      <c r="O553" s="9"/>
      <c r="P553" s="9"/>
      <c r="Q553" s="1"/>
      <c r="R553" s="1"/>
    </row>
    <row r="554" spans="1:18" x14ac:dyDescent="0.2">
      <c r="A554" s="15"/>
      <c r="B554" s="66"/>
      <c r="C554" s="1"/>
      <c r="D554" s="66"/>
      <c r="E554" s="1"/>
      <c r="F554" s="66"/>
      <c r="G554" s="66"/>
      <c r="H554" s="66"/>
      <c r="I554" s="66"/>
      <c r="J554" s="1"/>
      <c r="K554" s="1"/>
      <c r="L554" s="1"/>
      <c r="M554" s="1"/>
      <c r="N554" s="9"/>
      <c r="O554" s="9"/>
      <c r="P554" s="9"/>
      <c r="Q554" s="1"/>
      <c r="R554" s="1"/>
    </row>
    <row r="555" spans="1:18" x14ac:dyDescent="0.2">
      <c r="A555" s="15"/>
      <c r="B555" s="66"/>
      <c r="C555" s="1"/>
      <c r="D555" s="66"/>
      <c r="E555" s="1"/>
      <c r="F555" s="66"/>
      <c r="G555" s="66"/>
      <c r="H555" s="66"/>
      <c r="I555" s="66"/>
      <c r="J555" s="1"/>
      <c r="K555" s="1"/>
      <c r="L555" s="1"/>
      <c r="M555" s="1"/>
      <c r="N555" s="9"/>
      <c r="O555" s="9"/>
      <c r="P555" s="9"/>
      <c r="Q555" s="1"/>
      <c r="R555" s="1"/>
    </row>
    <row r="556" spans="1:18" x14ac:dyDescent="0.2">
      <c r="A556" s="15"/>
      <c r="B556" s="66"/>
      <c r="C556" s="1"/>
      <c r="D556" s="66"/>
      <c r="E556" s="1"/>
      <c r="F556" s="66"/>
      <c r="G556" s="66"/>
      <c r="H556" s="66"/>
      <c r="I556" s="66"/>
      <c r="J556" s="1"/>
      <c r="K556" s="1"/>
      <c r="L556" s="1"/>
      <c r="M556" s="1"/>
      <c r="N556" s="9"/>
      <c r="O556" s="9"/>
      <c r="P556" s="9"/>
      <c r="Q556" s="1"/>
      <c r="R556" s="1"/>
    </row>
    <row r="557" spans="1:18" x14ac:dyDescent="0.2">
      <c r="A557" s="15"/>
      <c r="B557" s="66"/>
      <c r="C557" s="1"/>
      <c r="D557" s="66"/>
      <c r="E557" s="1"/>
      <c r="F557" s="66"/>
      <c r="G557" s="66"/>
      <c r="H557" s="66"/>
      <c r="I557" s="66"/>
      <c r="J557" s="1"/>
      <c r="K557" s="1"/>
      <c r="L557" s="1"/>
      <c r="M557" s="1"/>
      <c r="N557" s="9"/>
      <c r="O557" s="9"/>
      <c r="P557" s="9"/>
      <c r="Q557" s="1"/>
      <c r="R557" s="1"/>
    </row>
    <row r="558" spans="1:18" x14ac:dyDescent="0.2">
      <c r="A558" s="15"/>
      <c r="B558" s="66"/>
      <c r="C558" s="1"/>
      <c r="D558" s="66"/>
      <c r="E558" s="1"/>
      <c r="F558" s="66"/>
      <c r="G558" s="66"/>
      <c r="H558" s="66"/>
      <c r="I558" s="66"/>
      <c r="J558" s="1"/>
      <c r="K558" s="1"/>
      <c r="L558" s="1"/>
      <c r="M558" s="1"/>
      <c r="N558" s="9"/>
      <c r="O558" s="9"/>
      <c r="P558" s="9"/>
      <c r="Q558" s="1"/>
      <c r="R558" s="1"/>
    </row>
    <row r="559" spans="1:18" x14ac:dyDescent="0.2">
      <c r="A559" s="15"/>
      <c r="B559" s="66"/>
      <c r="C559" s="1"/>
      <c r="D559" s="66"/>
      <c r="E559" s="1"/>
      <c r="F559" s="66"/>
      <c r="G559" s="66"/>
      <c r="H559" s="66"/>
      <c r="I559" s="66"/>
      <c r="J559" s="1"/>
      <c r="K559" s="1"/>
      <c r="L559" s="1"/>
      <c r="M559" s="1"/>
      <c r="N559" s="9"/>
      <c r="O559" s="9"/>
      <c r="P559" s="9"/>
      <c r="Q559" s="1"/>
      <c r="R559" s="1"/>
    </row>
    <row r="560" spans="1:18" x14ac:dyDescent="0.2">
      <c r="A560" s="15"/>
      <c r="B560" s="66"/>
      <c r="C560" s="1"/>
      <c r="D560" s="66"/>
      <c r="E560" s="1"/>
      <c r="F560" s="66"/>
      <c r="G560" s="66"/>
      <c r="H560" s="66"/>
      <c r="I560" s="66"/>
      <c r="J560" s="1"/>
      <c r="K560" s="1"/>
      <c r="L560" s="1"/>
      <c r="M560" s="1"/>
      <c r="N560" s="9"/>
      <c r="O560" s="9"/>
      <c r="P560" s="9"/>
      <c r="Q560" s="1"/>
      <c r="R560" s="1"/>
    </row>
    <row r="561" spans="1:18" x14ac:dyDescent="0.2">
      <c r="A561" s="15"/>
      <c r="B561" s="66"/>
      <c r="C561" s="1"/>
      <c r="D561" s="66"/>
      <c r="E561" s="1"/>
      <c r="F561" s="66"/>
      <c r="G561" s="66"/>
      <c r="H561" s="66"/>
      <c r="I561" s="66"/>
      <c r="J561" s="1"/>
      <c r="K561" s="1"/>
      <c r="L561" s="1"/>
      <c r="M561" s="1"/>
      <c r="N561" s="9"/>
      <c r="O561" s="9"/>
      <c r="P561" s="9"/>
      <c r="Q561" s="1"/>
      <c r="R561" s="1"/>
    </row>
    <row r="562" spans="1:18" x14ac:dyDescent="0.2">
      <c r="A562" s="15"/>
      <c r="B562" s="66"/>
      <c r="C562" s="1"/>
      <c r="D562" s="66"/>
      <c r="E562" s="1"/>
      <c r="F562" s="66"/>
      <c r="G562" s="66"/>
      <c r="H562" s="66"/>
      <c r="I562" s="66"/>
      <c r="J562" s="1"/>
      <c r="K562" s="1"/>
      <c r="L562" s="1"/>
      <c r="M562" s="1"/>
      <c r="N562" s="9"/>
      <c r="O562" s="9"/>
      <c r="P562" s="9"/>
      <c r="Q562" s="1"/>
      <c r="R562" s="1"/>
    </row>
    <row r="563" spans="1:18" x14ac:dyDescent="0.2">
      <c r="A563" s="15"/>
      <c r="B563" s="66"/>
      <c r="C563" s="1"/>
      <c r="D563" s="66"/>
      <c r="E563" s="1"/>
      <c r="F563" s="66"/>
      <c r="G563" s="66"/>
      <c r="H563" s="66"/>
      <c r="I563" s="66"/>
      <c r="J563" s="1"/>
      <c r="K563" s="1"/>
      <c r="L563" s="1"/>
      <c r="M563" s="1"/>
      <c r="N563" s="9"/>
      <c r="O563" s="9"/>
      <c r="P563" s="9"/>
      <c r="Q563" s="1"/>
      <c r="R563" s="1"/>
    </row>
    <row r="564" spans="1:18" x14ac:dyDescent="0.2">
      <c r="A564" s="15"/>
      <c r="B564" s="66"/>
      <c r="C564" s="1"/>
      <c r="D564" s="66"/>
      <c r="E564" s="1"/>
      <c r="F564" s="66"/>
      <c r="G564" s="66"/>
      <c r="H564" s="66"/>
      <c r="I564" s="66"/>
      <c r="J564" s="1"/>
      <c r="K564" s="1"/>
      <c r="L564" s="1"/>
      <c r="M564" s="1"/>
      <c r="N564" s="9"/>
      <c r="O564" s="9"/>
      <c r="P564" s="9"/>
      <c r="Q564" s="1"/>
      <c r="R564" s="1"/>
    </row>
    <row r="565" spans="1:18" x14ac:dyDescent="0.2">
      <c r="A565" s="15"/>
      <c r="B565" s="66"/>
      <c r="C565" s="1"/>
      <c r="D565" s="66"/>
      <c r="E565" s="1"/>
      <c r="F565" s="66"/>
      <c r="G565" s="66"/>
      <c r="H565" s="66"/>
      <c r="I565" s="66"/>
      <c r="J565" s="1"/>
      <c r="K565" s="1"/>
      <c r="L565" s="1"/>
      <c r="M565" s="1"/>
      <c r="N565" s="9"/>
      <c r="O565" s="9"/>
      <c r="P565" s="9"/>
      <c r="Q565" s="1"/>
      <c r="R565" s="1"/>
    </row>
    <row r="566" spans="1:18" x14ac:dyDescent="0.2">
      <c r="A566" s="15"/>
      <c r="B566" s="66"/>
      <c r="C566" s="1"/>
      <c r="D566" s="66"/>
      <c r="E566" s="1"/>
      <c r="F566" s="66"/>
      <c r="G566" s="66"/>
      <c r="H566" s="66"/>
      <c r="I566" s="66"/>
      <c r="J566" s="1"/>
      <c r="K566" s="1"/>
      <c r="L566" s="1"/>
      <c r="M566" s="1"/>
      <c r="N566" s="9"/>
      <c r="O566" s="9"/>
      <c r="P566" s="9"/>
      <c r="Q566" s="1"/>
      <c r="R566" s="1"/>
    </row>
    <row r="567" spans="1:18" x14ac:dyDescent="0.2">
      <c r="A567" s="15"/>
      <c r="B567" s="66"/>
      <c r="C567" s="1"/>
      <c r="D567" s="66"/>
      <c r="E567" s="1"/>
      <c r="F567" s="66"/>
      <c r="G567" s="66"/>
      <c r="H567" s="66"/>
      <c r="I567" s="66"/>
      <c r="J567" s="1"/>
      <c r="K567" s="1"/>
      <c r="L567" s="1"/>
      <c r="M567" s="1"/>
      <c r="N567" s="9"/>
      <c r="O567" s="9"/>
      <c r="P567" s="9"/>
      <c r="Q567" s="1"/>
      <c r="R567" s="1"/>
    </row>
    <row r="568" spans="1:18" x14ac:dyDescent="0.2">
      <c r="A568" s="15"/>
      <c r="B568" s="66"/>
      <c r="C568" s="1"/>
      <c r="D568" s="66"/>
      <c r="E568" s="1"/>
      <c r="F568" s="66"/>
      <c r="G568" s="66"/>
      <c r="H568" s="66"/>
      <c r="I568" s="66"/>
      <c r="J568" s="1"/>
      <c r="K568" s="1"/>
      <c r="L568" s="1"/>
      <c r="M568" s="1"/>
      <c r="N568" s="9"/>
      <c r="O568" s="9"/>
      <c r="P568" s="9"/>
      <c r="Q568" s="1"/>
      <c r="R568" s="1"/>
    </row>
    <row r="569" spans="1:18" x14ac:dyDescent="0.2">
      <c r="A569" s="15"/>
      <c r="B569" s="66"/>
      <c r="C569" s="1"/>
      <c r="D569" s="66"/>
      <c r="E569" s="1"/>
      <c r="F569" s="66"/>
      <c r="G569" s="66"/>
      <c r="H569" s="66"/>
      <c r="I569" s="66"/>
      <c r="J569" s="1"/>
      <c r="K569" s="1"/>
      <c r="L569" s="1"/>
      <c r="M569" s="1"/>
      <c r="N569" s="9"/>
      <c r="O569" s="9"/>
      <c r="P569" s="9"/>
      <c r="Q569" s="1"/>
      <c r="R569" s="1"/>
    </row>
    <row r="570" spans="1:18" x14ac:dyDescent="0.2">
      <c r="A570" s="15"/>
      <c r="B570" s="66"/>
      <c r="C570" s="1"/>
      <c r="D570" s="66"/>
      <c r="E570" s="1"/>
      <c r="F570" s="66"/>
      <c r="G570" s="66"/>
      <c r="H570" s="66"/>
      <c r="I570" s="66"/>
      <c r="J570" s="1"/>
      <c r="K570" s="1"/>
      <c r="L570" s="1"/>
      <c r="M570" s="1"/>
      <c r="N570" s="9"/>
      <c r="O570" s="9"/>
      <c r="P570" s="9"/>
      <c r="Q570" s="1"/>
      <c r="R570" s="1"/>
    </row>
    <row r="571" spans="1:18" x14ac:dyDescent="0.2">
      <c r="A571" s="15"/>
      <c r="B571" s="66"/>
      <c r="C571" s="1"/>
      <c r="D571" s="66"/>
      <c r="E571" s="1"/>
      <c r="F571" s="66"/>
      <c r="G571" s="66"/>
      <c r="H571" s="66"/>
      <c r="I571" s="66"/>
      <c r="J571" s="1"/>
      <c r="K571" s="1"/>
      <c r="L571" s="1"/>
      <c r="M571" s="1"/>
      <c r="N571" s="9"/>
      <c r="O571" s="9"/>
      <c r="P571" s="9"/>
      <c r="Q571" s="1"/>
      <c r="R571" s="1"/>
    </row>
    <row r="572" spans="1:18" x14ac:dyDescent="0.2">
      <c r="A572" s="15"/>
      <c r="B572" s="66"/>
      <c r="C572" s="1"/>
      <c r="D572" s="66"/>
      <c r="E572" s="1"/>
      <c r="F572" s="66"/>
      <c r="G572" s="66"/>
      <c r="H572" s="66"/>
      <c r="I572" s="66"/>
      <c r="J572" s="1"/>
      <c r="K572" s="1"/>
      <c r="L572" s="1"/>
      <c r="M572" s="1"/>
      <c r="N572" s="9"/>
      <c r="O572" s="9"/>
      <c r="P572" s="9"/>
      <c r="Q572" s="1"/>
      <c r="R572" s="1"/>
    </row>
    <row r="573" spans="1:18" x14ac:dyDescent="0.2">
      <c r="A573" s="15"/>
      <c r="B573" s="66"/>
      <c r="C573" s="1"/>
      <c r="D573" s="66"/>
      <c r="E573" s="1"/>
      <c r="F573" s="66"/>
      <c r="G573" s="66"/>
      <c r="H573" s="66"/>
      <c r="I573" s="66"/>
      <c r="J573" s="1"/>
      <c r="K573" s="1"/>
      <c r="L573" s="1"/>
      <c r="M573" s="1"/>
      <c r="N573" s="9"/>
      <c r="O573" s="9"/>
      <c r="P573" s="9"/>
      <c r="Q573" s="1"/>
      <c r="R573" s="1"/>
    </row>
    <row r="574" spans="1:18" x14ac:dyDescent="0.2">
      <c r="A574" s="15"/>
      <c r="B574" s="66"/>
      <c r="C574" s="1"/>
      <c r="D574" s="66"/>
      <c r="E574" s="1"/>
      <c r="F574" s="66"/>
      <c r="G574" s="66"/>
      <c r="H574" s="66"/>
      <c r="I574" s="66"/>
      <c r="J574" s="1"/>
      <c r="K574" s="1"/>
      <c r="L574" s="1"/>
      <c r="M574" s="1"/>
      <c r="N574" s="9"/>
      <c r="O574" s="9"/>
      <c r="P574" s="9"/>
      <c r="Q574" s="1"/>
      <c r="R574" s="1"/>
    </row>
    <row r="575" spans="1:18" x14ac:dyDescent="0.2">
      <c r="A575" s="15"/>
      <c r="B575" s="66"/>
      <c r="C575" s="1"/>
      <c r="D575" s="66"/>
      <c r="E575" s="1"/>
      <c r="F575" s="66"/>
      <c r="G575" s="66"/>
      <c r="H575" s="66"/>
      <c r="I575" s="66"/>
      <c r="J575" s="1"/>
      <c r="K575" s="1"/>
      <c r="L575" s="1"/>
      <c r="M575" s="1"/>
      <c r="N575" s="9"/>
      <c r="O575" s="9"/>
      <c r="P575" s="9"/>
      <c r="Q575" s="1"/>
      <c r="R575" s="1"/>
    </row>
    <row r="576" spans="1:18" x14ac:dyDescent="0.2">
      <c r="A576" s="15"/>
      <c r="B576" s="66"/>
      <c r="C576" s="1"/>
      <c r="D576" s="66"/>
      <c r="E576" s="1"/>
      <c r="F576" s="66"/>
      <c r="G576" s="66"/>
      <c r="H576" s="66"/>
      <c r="I576" s="66"/>
      <c r="J576" s="1"/>
      <c r="K576" s="1"/>
      <c r="L576" s="1"/>
      <c r="M576" s="1"/>
      <c r="N576" s="9"/>
      <c r="O576" s="9"/>
      <c r="P576" s="9"/>
      <c r="Q576" s="1"/>
      <c r="R576" s="1"/>
    </row>
    <row r="577" spans="1:18" x14ac:dyDescent="0.2">
      <c r="A577" s="15"/>
      <c r="B577" s="66"/>
      <c r="C577" s="1"/>
      <c r="D577" s="66"/>
      <c r="E577" s="1"/>
      <c r="F577" s="66"/>
      <c r="G577" s="66"/>
      <c r="H577" s="66"/>
      <c r="I577" s="66"/>
      <c r="J577" s="1"/>
      <c r="K577" s="1"/>
      <c r="L577" s="1"/>
      <c r="M577" s="1"/>
      <c r="N577" s="9"/>
      <c r="O577" s="9"/>
      <c r="P577" s="9"/>
      <c r="Q577" s="1"/>
      <c r="R577" s="1"/>
    </row>
    <row r="578" spans="1:18" x14ac:dyDescent="0.2">
      <c r="A578" s="15"/>
      <c r="B578" s="66"/>
      <c r="C578" s="1"/>
      <c r="D578" s="66"/>
      <c r="E578" s="1"/>
      <c r="F578" s="66"/>
      <c r="G578" s="66"/>
      <c r="H578" s="66"/>
      <c r="I578" s="66"/>
      <c r="J578" s="1"/>
      <c r="K578" s="1"/>
      <c r="L578" s="1"/>
      <c r="M578" s="1"/>
      <c r="N578" s="9"/>
      <c r="O578" s="9"/>
      <c r="P578" s="9"/>
      <c r="Q578" s="1"/>
      <c r="R578" s="1"/>
    </row>
    <row r="579" spans="1:18" x14ac:dyDescent="0.2">
      <c r="A579" s="15"/>
      <c r="B579" s="66"/>
      <c r="C579" s="1"/>
      <c r="D579" s="66"/>
      <c r="E579" s="1"/>
      <c r="F579" s="66"/>
      <c r="G579" s="66"/>
      <c r="H579" s="66"/>
      <c r="I579" s="66"/>
      <c r="J579" s="1"/>
      <c r="K579" s="1"/>
      <c r="L579" s="1"/>
      <c r="M579" s="1"/>
      <c r="N579" s="9"/>
      <c r="O579" s="9"/>
      <c r="P579" s="9"/>
      <c r="Q579" s="1"/>
      <c r="R579" s="1"/>
    </row>
    <row r="580" spans="1:18" x14ac:dyDescent="0.2">
      <c r="A580" s="15"/>
      <c r="B580" s="66"/>
      <c r="C580" s="1"/>
      <c r="D580" s="66"/>
      <c r="E580" s="1"/>
      <c r="F580" s="66"/>
      <c r="G580" s="66"/>
      <c r="H580" s="66"/>
      <c r="I580" s="66"/>
      <c r="J580" s="1"/>
      <c r="K580" s="1"/>
      <c r="L580" s="1"/>
      <c r="M580" s="1"/>
      <c r="N580" s="9"/>
      <c r="O580" s="9"/>
      <c r="P580" s="9"/>
      <c r="Q580" s="1"/>
      <c r="R580" s="1"/>
    </row>
    <row r="581" spans="1:18" x14ac:dyDescent="0.2">
      <c r="A581" s="15"/>
      <c r="B581" s="66"/>
      <c r="C581" s="1"/>
      <c r="D581" s="66"/>
      <c r="E581" s="1"/>
      <c r="F581" s="66"/>
      <c r="G581" s="66"/>
      <c r="H581" s="66"/>
      <c r="I581" s="66"/>
      <c r="J581" s="1"/>
      <c r="K581" s="1"/>
      <c r="L581" s="1"/>
      <c r="M581" s="1"/>
      <c r="N581" s="9"/>
      <c r="O581" s="9"/>
      <c r="P581" s="9"/>
      <c r="Q581" s="1"/>
      <c r="R581" s="1"/>
    </row>
    <row r="582" spans="1:18" x14ac:dyDescent="0.2">
      <c r="A582" s="15"/>
      <c r="B582" s="66"/>
      <c r="C582" s="1"/>
      <c r="D582" s="66"/>
      <c r="E582" s="1"/>
      <c r="F582" s="66"/>
      <c r="G582" s="66"/>
      <c r="H582" s="66"/>
      <c r="I582" s="66"/>
      <c r="J582" s="1"/>
      <c r="K582" s="1"/>
      <c r="L582" s="1"/>
      <c r="M582" s="1"/>
      <c r="N582" s="9"/>
      <c r="O582" s="9"/>
      <c r="P582" s="9"/>
      <c r="Q582" s="1"/>
      <c r="R582" s="1"/>
    </row>
    <row r="583" spans="1:18" x14ac:dyDescent="0.2">
      <c r="A583" s="15"/>
      <c r="B583" s="66"/>
      <c r="C583" s="1"/>
      <c r="D583" s="66"/>
      <c r="E583" s="1"/>
      <c r="F583" s="66"/>
      <c r="G583" s="66"/>
      <c r="H583" s="66"/>
      <c r="I583" s="66"/>
      <c r="J583" s="1"/>
      <c r="K583" s="1"/>
      <c r="L583" s="1"/>
      <c r="M583" s="1"/>
      <c r="N583" s="9"/>
      <c r="O583" s="9"/>
      <c r="P583" s="9"/>
      <c r="Q583" s="1"/>
      <c r="R583" s="1"/>
    </row>
    <row r="584" spans="1:18" x14ac:dyDescent="0.2">
      <c r="A584" s="15"/>
      <c r="B584" s="66"/>
      <c r="C584" s="1"/>
      <c r="D584" s="66"/>
      <c r="E584" s="1"/>
      <c r="F584" s="66"/>
      <c r="G584" s="66"/>
      <c r="H584" s="66"/>
      <c r="I584" s="66"/>
      <c r="J584" s="1"/>
      <c r="K584" s="1"/>
      <c r="L584" s="1"/>
      <c r="M584" s="1"/>
      <c r="N584" s="9"/>
      <c r="O584" s="9"/>
      <c r="P584" s="9"/>
      <c r="Q584" s="1"/>
      <c r="R584" s="1"/>
    </row>
    <row r="585" spans="1:18" x14ac:dyDescent="0.2">
      <c r="A585" s="15"/>
      <c r="B585" s="66"/>
      <c r="C585" s="1"/>
      <c r="D585" s="66"/>
      <c r="E585" s="1"/>
      <c r="F585" s="66"/>
      <c r="G585" s="66"/>
      <c r="H585" s="66"/>
      <c r="I585" s="66"/>
      <c r="J585" s="1"/>
      <c r="K585" s="1"/>
      <c r="L585" s="1"/>
      <c r="M585" s="1"/>
      <c r="N585" s="9"/>
      <c r="O585" s="9"/>
      <c r="P585" s="9"/>
      <c r="Q585" s="1"/>
      <c r="R585" s="1"/>
    </row>
    <row r="586" spans="1:18" x14ac:dyDescent="0.2">
      <c r="A586" s="15"/>
      <c r="B586" s="66"/>
      <c r="C586" s="1"/>
      <c r="D586" s="66"/>
      <c r="E586" s="1"/>
      <c r="F586" s="66"/>
      <c r="G586" s="66"/>
      <c r="H586" s="66"/>
      <c r="I586" s="66"/>
      <c r="J586" s="1"/>
      <c r="K586" s="1"/>
      <c r="L586" s="1"/>
      <c r="M586" s="1"/>
      <c r="N586" s="9"/>
      <c r="O586" s="9"/>
      <c r="P586" s="9"/>
      <c r="Q586" s="1"/>
      <c r="R586" s="1"/>
    </row>
    <row r="587" spans="1:18" x14ac:dyDescent="0.2">
      <c r="A587" s="15"/>
      <c r="B587" s="66"/>
      <c r="C587" s="1"/>
      <c r="D587" s="66"/>
      <c r="E587" s="1"/>
      <c r="F587" s="66"/>
      <c r="G587" s="66"/>
      <c r="H587" s="66"/>
      <c r="I587" s="66"/>
      <c r="J587" s="1"/>
      <c r="K587" s="1"/>
      <c r="L587" s="1"/>
      <c r="M587" s="1"/>
      <c r="N587" s="9"/>
      <c r="O587" s="9"/>
      <c r="P587" s="9"/>
      <c r="Q587" s="1"/>
      <c r="R587" s="1"/>
    </row>
    <row r="588" spans="1:18" x14ac:dyDescent="0.2">
      <c r="A588" s="15"/>
      <c r="B588" s="66"/>
      <c r="C588" s="1"/>
      <c r="D588" s="66"/>
      <c r="E588" s="1"/>
      <c r="F588" s="66"/>
      <c r="G588" s="66"/>
      <c r="H588" s="66"/>
      <c r="I588" s="66"/>
      <c r="J588" s="1"/>
      <c r="K588" s="1"/>
      <c r="L588" s="1"/>
      <c r="M588" s="1"/>
      <c r="N588" s="9"/>
      <c r="O588" s="9"/>
      <c r="P588" s="9"/>
      <c r="Q588" s="1"/>
      <c r="R588" s="1"/>
    </row>
    <row r="589" spans="1:18" x14ac:dyDescent="0.2">
      <c r="A589" s="15"/>
      <c r="B589" s="66"/>
      <c r="C589" s="1"/>
      <c r="D589" s="66"/>
      <c r="E589" s="1"/>
      <c r="F589" s="66"/>
      <c r="G589" s="66"/>
      <c r="H589" s="66"/>
      <c r="I589" s="66"/>
      <c r="J589" s="1"/>
      <c r="K589" s="1"/>
      <c r="L589" s="1"/>
      <c r="M589" s="1"/>
      <c r="N589" s="9"/>
      <c r="O589" s="9"/>
      <c r="P589" s="9"/>
      <c r="Q589" s="1"/>
      <c r="R589" s="1"/>
    </row>
    <row r="590" spans="1:18" x14ac:dyDescent="0.2">
      <c r="A590" s="15"/>
      <c r="B590" s="66"/>
      <c r="C590" s="1"/>
      <c r="D590" s="66"/>
      <c r="E590" s="1"/>
      <c r="F590" s="66"/>
      <c r="G590" s="66"/>
      <c r="H590" s="66"/>
      <c r="I590" s="66"/>
      <c r="J590" s="1"/>
      <c r="K590" s="1"/>
      <c r="L590" s="1"/>
      <c r="M590" s="1"/>
      <c r="N590" s="9"/>
      <c r="O590" s="9"/>
      <c r="P590" s="9"/>
      <c r="Q590" s="1"/>
      <c r="R590" s="1"/>
    </row>
    <row r="591" spans="1:18" x14ac:dyDescent="0.2">
      <c r="A591" s="15"/>
      <c r="B591" s="66"/>
      <c r="C591" s="1"/>
      <c r="D591" s="66"/>
      <c r="E591" s="1"/>
      <c r="F591" s="66"/>
      <c r="G591" s="66"/>
      <c r="H591" s="66"/>
      <c r="I591" s="66"/>
      <c r="J591" s="1"/>
      <c r="K591" s="1"/>
      <c r="L591" s="1"/>
      <c r="M591" s="1"/>
      <c r="N591" s="9"/>
      <c r="O591" s="9"/>
      <c r="P591" s="9"/>
      <c r="Q591" s="1"/>
      <c r="R591" s="1"/>
    </row>
    <row r="592" spans="1:18" x14ac:dyDescent="0.2">
      <c r="A592" s="15"/>
      <c r="B592" s="66"/>
      <c r="C592" s="1"/>
      <c r="D592" s="66"/>
      <c r="E592" s="1"/>
      <c r="F592" s="66"/>
      <c r="G592" s="66"/>
      <c r="H592" s="66"/>
      <c r="I592" s="66"/>
      <c r="J592" s="1"/>
      <c r="K592" s="1"/>
      <c r="L592" s="1"/>
      <c r="M592" s="1"/>
      <c r="N592" s="9"/>
      <c r="O592" s="9"/>
      <c r="P592" s="9"/>
      <c r="Q592" s="1"/>
      <c r="R592" s="1"/>
    </row>
    <row r="593" spans="1:18" x14ac:dyDescent="0.2">
      <c r="A593" s="15"/>
      <c r="B593" s="66"/>
      <c r="C593" s="1"/>
      <c r="D593" s="66"/>
      <c r="E593" s="1"/>
      <c r="F593" s="66"/>
      <c r="G593" s="66"/>
      <c r="H593" s="66"/>
      <c r="I593" s="66"/>
      <c r="J593" s="1"/>
      <c r="K593" s="1"/>
      <c r="L593" s="1"/>
      <c r="M593" s="1"/>
      <c r="N593" s="9"/>
      <c r="O593" s="9"/>
      <c r="P593" s="9"/>
      <c r="Q593" s="1"/>
      <c r="R593" s="1"/>
    </row>
    <row r="594" spans="1:18" x14ac:dyDescent="0.2">
      <c r="A594" s="15"/>
      <c r="B594" s="66"/>
      <c r="C594" s="1"/>
      <c r="D594" s="66"/>
      <c r="E594" s="1"/>
      <c r="F594" s="66"/>
      <c r="G594" s="66"/>
      <c r="H594" s="66"/>
      <c r="I594" s="66"/>
      <c r="J594" s="1"/>
      <c r="K594" s="1"/>
      <c r="L594" s="1"/>
      <c r="M594" s="1"/>
      <c r="N594" s="9"/>
      <c r="O594" s="9"/>
      <c r="P594" s="9"/>
      <c r="Q594" s="1"/>
      <c r="R594" s="1"/>
    </row>
    <row r="595" spans="1:18" x14ac:dyDescent="0.2">
      <c r="A595" s="15"/>
      <c r="B595" s="66"/>
      <c r="C595" s="1"/>
      <c r="D595" s="66"/>
      <c r="E595" s="1"/>
      <c r="F595" s="66"/>
      <c r="G595" s="66"/>
      <c r="H595" s="66"/>
      <c r="I595" s="66"/>
      <c r="J595" s="1"/>
      <c r="K595" s="1"/>
      <c r="L595" s="1"/>
      <c r="M595" s="1"/>
      <c r="N595" s="9"/>
      <c r="O595" s="9"/>
      <c r="P595" s="9"/>
      <c r="Q595" s="1"/>
      <c r="R595" s="1"/>
    </row>
    <row r="596" spans="1:18" x14ac:dyDescent="0.2">
      <c r="A596" s="15"/>
      <c r="B596" s="66"/>
      <c r="C596" s="1"/>
      <c r="D596" s="66"/>
      <c r="E596" s="1"/>
      <c r="F596" s="66"/>
      <c r="G596" s="66"/>
      <c r="H596" s="66"/>
      <c r="I596" s="66"/>
      <c r="J596" s="1"/>
      <c r="K596" s="1"/>
      <c r="L596" s="1"/>
      <c r="M596" s="1"/>
      <c r="N596" s="9"/>
      <c r="O596" s="9"/>
      <c r="P596" s="9"/>
      <c r="Q596" s="1"/>
      <c r="R596" s="1"/>
    </row>
    <row r="597" spans="1:18" x14ac:dyDescent="0.2">
      <c r="A597" s="15"/>
      <c r="B597" s="66"/>
      <c r="C597" s="1"/>
      <c r="D597" s="66"/>
      <c r="E597" s="1"/>
      <c r="F597" s="66"/>
      <c r="G597" s="66"/>
      <c r="H597" s="66"/>
      <c r="I597" s="66"/>
      <c r="J597" s="1"/>
      <c r="K597" s="1"/>
      <c r="L597" s="1"/>
      <c r="M597" s="1"/>
      <c r="N597" s="9"/>
      <c r="O597" s="9"/>
      <c r="P597" s="9"/>
      <c r="Q597" s="1"/>
      <c r="R597" s="1"/>
    </row>
    <row r="598" spans="1:18" x14ac:dyDescent="0.2">
      <c r="A598" s="15"/>
      <c r="B598" s="66"/>
      <c r="C598" s="1"/>
      <c r="D598" s="66"/>
      <c r="E598" s="1"/>
      <c r="F598" s="66"/>
      <c r="G598" s="66"/>
      <c r="H598" s="66"/>
      <c r="I598" s="66"/>
      <c r="J598" s="1"/>
      <c r="K598" s="1"/>
      <c r="L598" s="1"/>
      <c r="M598" s="1"/>
      <c r="N598" s="9"/>
      <c r="O598" s="9"/>
      <c r="P598" s="9"/>
      <c r="Q598" s="1"/>
      <c r="R598" s="1"/>
    </row>
    <row r="599" spans="1:18" x14ac:dyDescent="0.2">
      <c r="A599" s="15"/>
      <c r="B599" s="66"/>
      <c r="C599" s="1"/>
      <c r="D599" s="66"/>
      <c r="E599" s="1"/>
      <c r="F599" s="66"/>
      <c r="G599" s="66"/>
      <c r="H599" s="66"/>
      <c r="I599" s="66"/>
      <c r="J599" s="1"/>
      <c r="K599" s="1"/>
      <c r="L599" s="1"/>
      <c r="M599" s="1"/>
      <c r="N599" s="9"/>
      <c r="O599" s="9"/>
      <c r="P599" s="9"/>
      <c r="Q599" s="1"/>
      <c r="R599" s="1"/>
    </row>
    <row r="600" spans="1:18" x14ac:dyDescent="0.2">
      <c r="A600" s="15"/>
      <c r="B600" s="66"/>
      <c r="C600" s="1"/>
      <c r="D600" s="66"/>
      <c r="E600" s="1"/>
      <c r="F600" s="66"/>
      <c r="G600" s="66"/>
      <c r="H600" s="66"/>
      <c r="I600" s="66"/>
      <c r="J600" s="1"/>
      <c r="K600" s="1"/>
      <c r="L600" s="1"/>
      <c r="M600" s="1"/>
      <c r="N600" s="9"/>
      <c r="O600" s="9"/>
      <c r="P600" s="9"/>
      <c r="Q600" s="1"/>
      <c r="R600" s="1"/>
    </row>
    <row r="601" spans="1:18" x14ac:dyDescent="0.2">
      <c r="A601" s="15"/>
      <c r="B601" s="66"/>
      <c r="C601" s="1"/>
      <c r="D601" s="66"/>
      <c r="E601" s="1"/>
      <c r="F601" s="66"/>
      <c r="G601" s="66"/>
      <c r="H601" s="66"/>
      <c r="I601" s="66"/>
      <c r="J601" s="1"/>
      <c r="K601" s="1"/>
      <c r="L601" s="1"/>
      <c r="M601" s="1"/>
      <c r="N601" s="9"/>
      <c r="O601" s="9"/>
      <c r="P601" s="9"/>
      <c r="Q601" s="1"/>
      <c r="R601" s="1"/>
    </row>
    <row r="602" spans="1:18" x14ac:dyDescent="0.2">
      <c r="A602" s="15"/>
      <c r="B602" s="66"/>
      <c r="C602" s="1"/>
      <c r="D602" s="66"/>
      <c r="E602" s="1"/>
      <c r="F602" s="66"/>
      <c r="G602" s="66"/>
      <c r="H602" s="66"/>
      <c r="I602" s="66"/>
      <c r="J602" s="1"/>
      <c r="K602" s="1"/>
      <c r="L602" s="1"/>
      <c r="M602" s="1"/>
      <c r="N602" s="9"/>
      <c r="O602" s="9"/>
      <c r="P602" s="9"/>
      <c r="Q602" s="1"/>
      <c r="R602" s="1"/>
    </row>
    <row r="603" spans="1:18" x14ac:dyDescent="0.2">
      <c r="A603" s="15"/>
      <c r="B603" s="66"/>
      <c r="C603" s="1"/>
      <c r="D603" s="66"/>
      <c r="E603" s="1"/>
      <c r="F603" s="66"/>
      <c r="G603" s="66"/>
      <c r="H603" s="66"/>
      <c r="I603" s="66"/>
      <c r="J603" s="1"/>
      <c r="K603" s="1"/>
      <c r="L603" s="1"/>
      <c r="M603" s="1"/>
      <c r="N603" s="9"/>
      <c r="O603" s="9"/>
      <c r="P603" s="9"/>
      <c r="Q603" s="1"/>
      <c r="R603" s="1"/>
    </row>
    <row r="604" spans="1:18" x14ac:dyDescent="0.2">
      <c r="A604" s="15"/>
      <c r="B604" s="66"/>
      <c r="C604" s="1"/>
      <c r="D604" s="66"/>
      <c r="E604" s="1"/>
      <c r="F604" s="66"/>
      <c r="G604" s="66"/>
      <c r="H604" s="66"/>
      <c r="I604" s="66"/>
      <c r="J604" s="1"/>
      <c r="K604" s="1"/>
      <c r="L604" s="1"/>
      <c r="M604" s="1"/>
      <c r="N604" s="9"/>
      <c r="O604" s="9"/>
      <c r="P604" s="9"/>
      <c r="Q604" s="1"/>
      <c r="R604" s="1"/>
    </row>
    <row r="605" spans="1:18" x14ac:dyDescent="0.2">
      <c r="A605" s="15"/>
      <c r="B605" s="66"/>
      <c r="C605" s="1"/>
      <c r="D605" s="66"/>
      <c r="E605" s="1"/>
      <c r="F605" s="66"/>
      <c r="G605" s="66"/>
      <c r="H605" s="66"/>
      <c r="I605" s="66"/>
      <c r="J605" s="1"/>
      <c r="K605" s="1"/>
      <c r="L605" s="1"/>
      <c r="M605" s="1"/>
      <c r="N605" s="9"/>
      <c r="O605" s="9"/>
      <c r="P605" s="9"/>
      <c r="Q605" s="1"/>
      <c r="R605" s="1"/>
    </row>
    <row r="606" spans="1:18" x14ac:dyDescent="0.2">
      <c r="A606" s="15"/>
      <c r="B606" s="66"/>
      <c r="C606" s="1"/>
      <c r="D606" s="66"/>
      <c r="E606" s="1"/>
      <c r="F606" s="66"/>
      <c r="G606" s="66"/>
      <c r="H606" s="66"/>
      <c r="I606" s="66"/>
      <c r="J606" s="1"/>
      <c r="K606" s="1"/>
      <c r="L606" s="1"/>
      <c r="M606" s="1"/>
      <c r="N606" s="9"/>
      <c r="O606" s="9"/>
      <c r="P606" s="9"/>
      <c r="Q606" s="1"/>
      <c r="R606" s="1"/>
    </row>
    <row r="607" spans="1:18" x14ac:dyDescent="0.2">
      <c r="A607" s="15"/>
      <c r="B607" s="66"/>
      <c r="C607" s="1"/>
      <c r="D607" s="66"/>
      <c r="E607" s="1"/>
      <c r="F607" s="66"/>
      <c r="G607" s="66"/>
      <c r="H607" s="66"/>
      <c r="I607" s="66"/>
      <c r="J607" s="1"/>
      <c r="K607" s="1"/>
      <c r="L607" s="1"/>
      <c r="M607" s="1"/>
      <c r="N607" s="9"/>
      <c r="O607" s="9"/>
      <c r="P607" s="9"/>
      <c r="Q607" s="1"/>
      <c r="R607" s="1"/>
    </row>
    <row r="608" spans="1:18" x14ac:dyDescent="0.2">
      <c r="A608" s="15"/>
      <c r="B608" s="66"/>
      <c r="C608" s="1"/>
      <c r="D608" s="66"/>
      <c r="E608" s="1"/>
      <c r="F608" s="66"/>
      <c r="G608" s="66"/>
      <c r="H608" s="66"/>
      <c r="I608" s="66"/>
      <c r="J608" s="1"/>
      <c r="K608" s="1"/>
      <c r="L608" s="1"/>
      <c r="M608" s="1"/>
      <c r="N608" s="9"/>
      <c r="O608" s="9"/>
      <c r="P608" s="9"/>
      <c r="Q608" s="1"/>
      <c r="R608" s="1"/>
    </row>
    <row r="609" spans="1:18" x14ac:dyDescent="0.2">
      <c r="A609" s="15"/>
      <c r="B609" s="66"/>
      <c r="C609" s="1"/>
      <c r="D609" s="66"/>
      <c r="E609" s="1"/>
      <c r="F609" s="66"/>
      <c r="G609" s="66"/>
      <c r="H609" s="66"/>
      <c r="I609" s="66"/>
      <c r="J609" s="1"/>
      <c r="K609" s="1"/>
      <c r="L609" s="1"/>
      <c r="M609" s="1"/>
      <c r="N609" s="9"/>
      <c r="O609" s="9"/>
      <c r="P609" s="9"/>
      <c r="Q609" s="1"/>
      <c r="R609" s="1"/>
    </row>
    <row r="610" spans="1:18" x14ac:dyDescent="0.2">
      <c r="A610" s="15"/>
      <c r="B610" s="66"/>
      <c r="C610" s="1"/>
      <c r="D610" s="66"/>
      <c r="E610" s="1"/>
      <c r="F610" s="66"/>
      <c r="G610" s="66"/>
      <c r="H610" s="66"/>
      <c r="I610" s="66"/>
      <c r="J610" s="1"/>
      <c r="K610" s="1"/>
      <c r="L610" s="1"/>
      <c r="M610" s="1"/>
      <c r="N610" s="9"/>
      <c r="O610" s="9"/>
      <c r="P610" s="9"/>
      <c r="Q610" s="1"/>
      <c r="R610" s="1"/>
    </row>
    <row r="611" spans="1:18" x14ac:dyDescent="0.2">
      <c r="A611" s="15"/>
      <c r="B611" s="66"/>
      <c r="C611" s="1"/>
      <c r="D611" s="66"/>
      <c r="E611" s="1"/>
      <c r="F611" s="66"/>
      <c r="G611" s="66"/>
      <c r="H611" s="66"/>
      <c r="I611" s="66"/>
      <c r="J611" s="1"/>
      <c r="K611" s="1"/>
      <c r="L611" s="1"/>
      <c r="M611" s="1"/>
      <c r="N611" s="9"/>
      <c r="O611" s="9"/>
      <c r="P611" s="9"/>
      <c r="Q611" s="1"/>
      <c r="R611" s="1"/>
    </row>
    <row r="612" spans="1:18" x14ac:dyDescent="0.2">
      <c r="A612" s="15"/>
      <c r="B612" s="66"/>
      <c r="C612" s="1"/>
      <c r="D612" s="66"/>
      <c r="E612" s="1"/>
      <c r="F612" s="66"/>
      <c r="G612" s="66"/>
      <c r="H612" s="66"/>
      <c r="I612" s="66"/>
      <c r="J612" s="1"/>
      <c r="K612" s="1"/>
      <c r="L612" s="1"/>
      <c r="M612" s="1"/>
      <c r="N612" s="9"/>
      <c r="O612" s="9"/>
      <c r="P612" s="9"/>
      <c r="Q612" s="1"/>
      <c r="R612" s="1"/>
    </row>
    <row r="613" spans="1:18" x14ac:dyDescent="0.2">
      <c r="A613" s="15"/>
      <c r="B613" s="66"/>
      <c r="C613" s="1"/>
      <c r="D613" s="66"/>
      <c r="E613" s="1"/>
      <c r="F613" s="66"/>
      <c r="G613" s="66"/>
      <c r="H613" s="66"/>
      <c r="I613" s="66"/>
      <c r="J613" s="1"/>
      <c r="K613" s="1"/>
      <c r="L613" s="1"/>
      <c r="M613" s="1"/>
      <c r="N613" s="9"/>
      <c r="O613" s="9"/>
      <c r="P613" s="9"/>
      <c r="Q613" s="1"/>
      <c r="R613" s="1"/>
    </row>
    <row r="614" spans="1:18" x14ac:dyDescent="0.2">
      <c r="A614" s="15"/>
      <c r="B614" s="66"/>
      <c r="C614" s="1"/>
      <c r="D614" s="66"/>
      <c r="E614" s="1"/>
      <c r="F614" s="66"/>
      <c r="G614" s="66"/>
      <c r="H614" s="66"/>
      <c r="I614" s="66"/>
      <c r="J614" s="1"/>
      <c r="K614" s="1"/>
      <c r="L614" s="1"/>
      <c r="M614" s="1"/>
      <c r="N614" s="9"/>
      <c r="O614" s="9"/>
      <c r="P614" s="9"/>
      <c r="Q614" s="1"/>
      <c r="R614" s="1"/>
    </row>
    <row r="615" spans="1:18" x14ac:dyDescent="0.2">
      <c r="A615" s="15"/>
      <c r="B615" s="66"/>
      <c r="C615" s="1"/>
      <c r="D615" s="66"/>
      <c r="E615" s="1"/>
      <c r="F615" s="66"/>
      <c r="G615" s="66"/>
      <c r="H615" s="66"/>
      <c r="I615" s="66"/>
      <c r="J615" s="1"/>
      <c r="K615" s="1"/>
      <c r="L615" s="1"/>
      <c r="M615" s="1"/>
      <c r="N615" s="9"/>
      <c r="O615" s="9"/>
      <c r="P615" s="9"/>
      <c r="Q615" s="1"/>
      <c r="R615" s="1"/>
    </row>
    <row r="616" spans="1:18" x14ac:dyDescent="0.2">
      <c r="A616" s="15"/>
      <c r="B616" s="66"/>
      <c r="C616" s="1"/>
      <c r="D616" s="66"/>
      <c r="E616" s="1"/>
      <c r="F616" s="66"/>
      <c r="G616" s="66"/>
      <c r="H616" s="66"/>
      <c r="I616" s="66"/>
      <c r="J616" s="1"/>
      <c r="K616" s="1"/>
      <c r="L616" s="1"/>
      <c r="M616" s="1"/>
      <c r="N616" s="9"/>
      <c r="O616" s="9"/>
      <c r="P616" s="9"/>
      <c r="Q616" s="1"/>
      <c r="R616" s="1"/>
    </row>
    <row r="617" spans="1:18" x14ac:dyDescent="0.2">
      <c r="A617" s="15"/>
      <c r="B617" s="66"/>
      <c r="C617" s="1"/>
      <c r="D617" s="66"/>
      <c r="E617" s="1"/>
      <c r="F617" s="66"/>
      <c r="G617" s="66"/>
      <c r="H617" s="66"/>
      <c r="I617" s="66"/>
      <c r="J617" s="1"/>
      <c r="K617" s="1"/>
      <c r="L617" s="1"/>
      <c r="M617" s="1"/>
      <c r="N617" s="9"/>
      <c r="O617" s="9"/>
      <c r="P617" s="9"/>
      <c r="Q617" s="1"/>
      <c r="R617" s="1"/>
    </row>
    <row r="618" spans="1:18" x14ac:dyDescent="0.2">
      <c r="A618" s="15"/>
      <c r="B618" s="66"/>
      <c r="C618" s="1"/>
      <c r="D618" s="66"/>
      <c r="E618" s="1"/>
      <c r="F618" s="66"/>
      <c r="G618" s="66"/>
      <c r="H618" s="66"/>
      <c r="I618" s="66"/>
      <c r="J618" s="1"/>
      <c r="K618" s="1"/>
      <c r="L618" s="1"/>
      <c r="M618" s="1"/>
      <c r="N618" s="9"/>
      <c r="O618" s="9"/>
      <c r="P618" s="9"/>
      <c r="Q618" s="1"/>
      <c r="R618" s="1"/>
    </row>
    <row r="619" spans="1:18" x14ac:dyDescent="0.2">
      <c r="A619" s="15"/>
      <c r="B619" s="66"/>
      <c r="C619" s="1"/>
      <c r="D619" s="66"/>
      <c r="E619" s="1"/>
      <c r="F619" s="66"/>
      <c r="G619" s="66"/>
      <c r="H619" s="66"/>
      <c r="I619" s="66"/>
      <c r="J619" s="1"/>
      <c r="K619" s="1"/>
      <c r="L619" s="1"/>
      <c r="M619" s="1"/>
      <c r="N619" s="9"/>
      <c r="O619" s="9"/>
      <c r="P619" s="9"/>
      <c r="Q619" s="1"/>
      <c r="R619" s="1"/>
    </row>
    <row r="620" spans="1:18" x14ac:dyDescent="0.2">
      <c r="A620" s="15"/>
      <c r="B620" s="66"/>
      <c r="C620" s="1"/>
      <c r="D620" s="66"/>
      <c r="E620" s="1"/>
      <c r="F620" s="66"/>
      <c r="G620" s="66"/>
      <c r="H620" s="66"/>
      <c r="I620" s="66"/>
      <c r="J620" s="1"/>
      <c r="K620" s="1"/>
      <c r="L620" s="1"/>
      <c r="M620" s="1"/>
      <c r="N620" s="9"/>
      <c r="O620" s="9"/>
      <c r="P620" s="9"/>
      <c r="Q620" s="1"/>
      <c r="R620" s="1"/>
    </row>
    <row r="621" spans="1:18" x14ac:dyDescent="0.2">
      <c r="A621" s="15"/>
      <c r="B621" s="66"/>
      <c r="C621" s="1"/>
      <c r="D621" s="66"/>
      <c r="E621" s="1"/>
      <c r="F621" s="66"/>
      <c r="G621" s="66"/>
      <c r="H621" s="66"/>
      <c r="I621" s="66"/>
      <c r="J621" s="1"/>
      <c r="K621" s="1"/>
      <c r="L621" s="1"/>
      <c r="M621" s="1"/>
      <c r="N621" s="9"/>
      <c r="O621" s="9"/>
      <c r="P621" s="9"/>
      <c r="Q621" s="1"/>
      <c r="R621" s="1"/>
    </row>
    <row r="622" spans="1:18" x14ac:dyDescent="0.2">
      <c r="A622" s="15"/>
      <c r="B622" s="66"/>
      <c r="C622" s="1"/>
      <c r="D622" s="66"/>
      <c r="E622" s="1"/>
      <c r="F622" s="66"/>
      <c r="G622" s="66"/>
      <c r="H622" s="66"/>
      <c r="I622" s="66"/>
      <c r="J622" s="1"/>
      <c r="K622" s="1"/>
      <c r="L622" s="1"/>
      <c r="M622" s="1"/>
      <c r="N622" s="9"/>
      <c r="O622" s="9"/>
      <c r="P622" s="9"/>
      <c r="Q622" s="1"/>
      <c r="R622" s="1"/>
    </row>
    <row r="623" spans="1:18" x14ac:dyDescent="0.2">
      <c r="A623" s="15"/>
      <c r="B623" s="66"/>
      <c r="C623" s="1"/>
      <c r="D623" s="66"/>
      <c r="E623" s="1"/>
      <c r="F623" s="66"/>
      <c r="G623" s="66"/>
      <c r="H623" s="66"/>
      <c r="I623" s="66"/>
      <c r="J623" s="1"/>
      <c r="K623" s="1"/>
      <c r="L623" s="1"/>
      <c r="M623" s="1"/>
      <c r="N623" s="9"/>
      <c r="O623" s="9"/>
      <c r="P623" s="9"/>
      <c r="Q623" s="1"/>
      <c r="R623" s="1"/>
    </row>
    <row r="624" spans="1:18" x14ac:dyDescent="0.2">
      <c r="A624" s="15"/>
      <c r="B624" s="66"/>
      <c r="C624" s="1"/>
      <c r="D624" s="66"/>
      <c r="E624" s="1"/>
      <c r="F624" s="66"/>
      <c r="G624" s="66"/>
      <c r="H624" s="66"/>
      <c r="I624" s="66"/>
      <c r="J624" s="1"/>
      <c r="K624" s="1"/>
      <c r="L624" s="1"/>
      <c r="M624" s="1"/>
      <c r="N624" s="9"/>
      <c r="O624" s="9"/>
      <c r="P624" s="9"/>
      <c r="Q624" s="1"/>
      <c r="R624" s="1"/>
    </row>
    <row r="625" spans="1:18" x14ac:dyDescent="0.2">
      <c r="A625" s="15"/>
      <c r="B625" s="66"/>
      <c r="C625" s="1"/>
      <c r="D625" s="66"/>
      <c r="E625" s="1"/>
      <c r="F625" s="66"/>
      <c r="G625" s="66"/>
      <c r="H625" s="66"/>
      <c r="I625" s="66"/>
      <c r="J625" s="1"/>
      <c r="K625" s="1"/>
      <c r="L625" s="1"/>
      <c r="M625" s="1"/>
      <c r="N625" s="9"/>
      <c r="O625" s="9"/>
      <c r="P625" s="9"/>
      <c r="Q625" s="1"/>
      <c r="R625" s="1"/>
    </row>
    <row r="626" spans="1:18" x14ac:dyDescent="0.2">
      <c r="A626" s="15"/>
      <c r="B626" s="66"/>
      <c r="C626" s="1"/>
      <c r="D626" s="66"/>
      <c r="E626" s="1"/>
      <c r="F626" s="66"/>
      <c r="G626" s="66"/>
      <c r="H626" s="66"/>
      <c r="I626" s="66"/>
      <c r="J626" s="1"/>
      <c r="K626" s="1"/>
      <c r="L626" s="1"/>
      <c r="M626" s="1"/>
      <c r="N626" s="9"/>
      <c r="O626" s="9"/>
      <c r="P626" s="9"/>
      <c r="Q626" s="1"/>
      <c r="R626" s="1"/>
    </row>
    <row r="627" spans="1:18" x14ac:dyDescent="0.2">
      <c r="A627" s="15"/>
      <c r="B627" s="66"/>
      <c r="C627" s="1"/>
      <c r="D627" s="66"/>
      <c r="E627" s="1"/>
      <c r="F627" s="66"/>
      <c r="G627" s="66"/>
      <c r="H627" s="66"/>
      <c r="I627" s="66"/>
      <c r="J627" s="1"/>
      <c r="K627" s="1"/>
      <c r="L627" s="1"/>
      <c r="M627" s="1"/>
      <c r="N627" s="9"/>
      <c r="O627" s="9"/>
      <c r="P627" s="9"/>
      <c r="Q627" s="1"/>
      <c r="R627" s="1"/>
    </row>
    <row r="628" spans="1:18" x14ac:dyDescent="0.2">
      <c r="A628" s="15"/>
      <c r="B628" s="66"/>
      <c r="C628" s="1"/>
      <c r="D628" s="66"/>
      <c r="E628" s="1"/>
      <c r="F628" s="66"/>
      <c r="G628" s="66"/>
      <c r="H628" s="66"/>
      <c r="I628" s="66"/>
      <c r="J628" s="1"/>
      <c r="K628" s="1"/>
      <c r="L628" s="1"/>
      <c r="M628" s="1"/>
      <c r="N628" s="9"/>
      <c r="O628" s="9"/>
      <c r="P628" s="9"/>
      <c r="Q628" s="1"/>
      <c r="R628" s="1"/>
    </row>
    <row r="629" spans="1:18" x14ac:dyDescent="0.2">
      <c r="A629" s="15"/>
      <c r="B629" s="66"/>
      <c r="C629" s="1"/>
      <c r="D629" s="66"/>
      <c r="E629" s="1"/>
      <c r="F629" s="66"/>
      <c r="G629" s="66"/>
      <c r="H629" s="66"/>
      <c r="I629" s="66"/>
      <c r="J629" s="1"/>
      <c r="K629" s="1"/>
      <c r="L629" s="1"/>
      <c r="M629" s="1"/>
      <c r="N629" s="9"/>
      <c r="O629" s="9"/>
      <c r="P629" s="9"/>
      <c r="Q629" s="1"/>
      <c r="R629" s="1"/>
    </row>
    <row r="630" spans="1:18" x14ac:dyDescent="0.2">
      <c r="A630" s="15"/>
      <c r="B630" s="66"/>
      <c r="C630" s="1"/>
      <c r="D630" s="66"/>
      <c r="E630" s="1"/>
      <c r="F630" s="66"/>
      <c r="G630" s="66"/>
      <c r="H630" s="66"/>
      <c r="I630" s="66"/>
      <c r="J630" s="1"/>
      <c r="K630" s="1"/>
      <c r="L630" s="1"/>
      <c r="M630" s="1"/>
      <c r="N630" s="9"/>
      <c r="O630" s="9"/>
      <c r="P630" s="9"/>
      <c r="Q630" s="1"/>
      <c r="R630" s="1"/>
    </row>
    <row r="631" spans="1:18" x14ac:dyDescent="0.2">
      <c r="A631" s="15"/>
      <c r="B631" s="66"/>
      <c r="C631" s="1"/>
      <c r="D631" s="66"/>
      <c r="E631" s="1"/>
      <c r="F631" s="66"/>
      <c r="G631" s="66"/>
      <c r="H631" s="66"/>
      <c r="I631" s="66"/>
      <c r="J631" s="1"/>
      <c r="K631" s="1"/>
      <c r="L631" s="1"/>
      <c r="M631" s="1"/>
      <c r="N631" s="9"/>
      <c r="O631" s="9"/>
      <c r="P631" s="9"/>
      <c r="Q631" s="1"/>
      <c r="R631" s="1"/>
    </row>
    <row r="632" spans="1:18" x14ac:dyDescent="0.2">
      <c r="A632" s="15"/>
      <c r="B632" s="66"/>
      <c r="C632" s="1"/>
      <c r="D632" s="66"/>
      <c r="E632" s="1"/>
      <c r="F632" s="66"/>
      <c r="G632" s="66"/>
      <c r="H632" s="66"/>
      <c r="I632" s="66"/>
      <c r="J632" s="1"/>
      <c r="K632" s="1"/>
      <c r="L632" s="1"/>
      <c r="M632" s="1"/>
      <c r="N632" s="9"/>
      <c r="O632" s="9"/>
      <c r="P632" s="9"/>
      <c r="Q632" s="1"/>
      <c r="R632" s="1"/>
    </row>
    <row r="633" spans="1:18" x14ac:dyDescent="0.2">
      <c r="A633" s="15"/>
      <c r="B633" s="66"/>
      <c r="C633" s="1"/>
      <c r="D633" s="66"/>
      <c r="E633" s="1"/>
      <c r="F633" s="66"/>
      <c r="G633" s="66"/>
      <c r="H633" s="66"/>
      <c r="I633" s="66"/>
      <c r="J633" s="1"/>
      <c r="K633" s="1"/>
      <c r="L633" s="1"/>
      <c r="M633" s="1"/>
      <c r="N633" s="9"/>
      <c r="O633" s="9"/>
      <c r="P633" s="9"/>
      <c r="Q633" s="1"/>
      <c r="R633" s="1"/>
    </row>
    <row r="634" spans="1:18" x14ac:dyDescent="0.2">
      <c r="A634" s="15"/>
      <c r="B634" s="66"/>
      <c r="C634" s="1"/>
      <c r="D634" s="66"/>
      <c r="E634" s="1"/>
      <c r="F634" s="66"/>
      <c r="G634" s="66"/>
      <c r="H634" s="66"/>
      <c r="I634" s="66"/>
      <c r="J634" s="1"/>
      <c r="K634" s="1"/>
      <c r="L634" s="1"/>
      <c r="M634" s="1"/>
      <c r="N634" s="9"/>
      <c r="O634" s="9"/>
      <c r="P634" s="9"/>
      <c r="Q634" s="1"/>
      <c r="R634" s="1"/>
    </row>
    <row r="635" spans="1:18" x14ac:dyDescent="0.2">
      <c r="A635" s="15"/>
      <c r="B635" s="66"/>
      <c r="C635" s="1"/>
      <c r="D635" s="66"/>
      <c r="E635" s="1"/>
      <c r="F635" s="66"/>
      <c r="G635" s="66"/>
      <c r="H635" s="66"/>
      <c r="I635" s="66"/>
      <c r="J635" s="1"/>
      <c r="K635" s="1"/>
      <c r="L635" s="1"/>
      <c r="M635" s="1"/>
      <c r="N635" s="9"/>
      <c r="O635" s="9"/>
      <c r="P635" s="9"/>
      <c r="Q635" s="1"/>
      <c r="R635" s="1"/>
    </row>
    <row r="636" spans="1:18" x14ac:dyDescent="0.2">
      <c r="A636" s="15"/>
      <c r="B636" s="66"/>
      <c r="C636" s="1"/>
      <c r="D636" s="66"/>
      <c r="E636" s="1"/>
      <c r="F636" s="66"/>
      <c r="G636" s="66"/>
      <c r="H636" s="66"/>
      <c r="I636" s="66"/>
      <c r="J636" s="1"/>
      <c r="K636" s="1"/>
      <c r="L636" s="1"/>
      <c r="M636" s="1"/>
      <c r="N636" s="9"/>
      <c r="O636" s="9"/>
      <c r="P636" s="9"/>
      <c r="Q636" s="1"/>
      <c r="R636" s="1"/>
    </row>
    <row r="637" spans="1:18" x14ac:dyDescent="0.2">
      <c r="A637" s="15"/>
      <c r="B637" s="66"/>
      <c r="C637" s="1"/>
      <c r="D637" s="66"/>
      <c r="E637" s="1"/>
      <c r="F637" s="66"/>
      <c r="G637" s="66"/>
      <c r="H637" s="66"/>
      <c r="I637" s="66"/>
      <c r="J637" s="1"/>
      <c r="K637" s="1"/>
      <c r="L637" s="1"/>
      <c r="M637" s="1"/>
      <c r="N637" s="9"/>
      <c r="O637" s="9"/>
      <c r="P637" s="9"/>
      <c r="Q637" s="1"/>
      <c r="R637" s="1"/>
    </row>
    <row r="638" spans="1:18" x14ac:dyDescent="0.2">
      <c r="A638" s="15"/>
      <c r="B638" s="66"/>
      <c r="C638" s="1"/>
      <c r="D638" s="66"/>
      <c r="E638" s="1"/>
      <c r="F638" s="66"/>
      <c r="G638" s="66"/>
      <c r="H638" s="66"/>
      <c r="I638" s="66"/>
      <c r="J638" s="1"/>
      <c r="K638" s="1"/>
      <c r="L638" s="1"/>
      <c r="M638" s="1"/>
      <c r="N638" s="9"/>
      <c r="O638" s="9"/>
      <c r="P638" s="9"/>
      <c r="Q638" s="1"/>
      <c r="R638" s="1"/>
    </row>
    <row r="639" spans="1:18" x14ac:dyDescent="0.2">
      <c r="A639" s="15"/>
      <c r="B639" s="66"/>
      <c r="C639" s="1"/>
      <c r="D639" s="66"/>
      <c r="E639" s="1"/>
      <c r="F639" s="66"/>
      <c r="G639" s="66"/>
      <c r="H639" s="66"/>
      <c r="I639" s="66"/>
      <c r="J639" s="1"/>
      <c r="K639" s="1"/>
      <c r="L639" s="1"/>
      <c r="M639" s="1"/>
      <c r="N639" s="9"/>
      <c r="O639" s="9"/>
      <c r="P639" s="9"/>
      <c r="Q639" s="1"/>
      <c r="R639" s="1"/>
    </row>
    <row r="640" spans="1:18" x14ac:dyDescent="0.2">
      <c r="A640" s="15"/>
      <c r="B640" s="66"/>
      <c r="C640" s="1"/>
      <c r="D640" s="66"/>
      <c r="E640" s="1"/>
      <c r="F640" s="66"/>
      <c r="G640" s="66"/>
      <c r="H640" s="66"/>
      <c r="I640" s="66"/>
      <c r="J640" s="1"/>
      <c r="K640" s="1"/>
      <c r="L640" s="1"/>
      <c r="M640" s="1"/>
      <c r="N640" s="9"/>
      <c r="O640" s="9"/>
      <c r="P640" s="9"/>
      <c r="Q640" s="1"/>
      <c r="R640" s="1"/>
    </row>
    <row r="641" spans="1:18" x14ac:dyDescent="0.2">
      <c r="A641" s="15"/>
      <c r="B641" s="66"/>
      <c r="C641" s="1"/>
      <c r="D641" s="66"/>
      <c r="E641" s="1"/>
      <c r="F641" s="66"/>
      <c r="G641" s="66"/>
      <c r="H641" s="66"/>
      <c r="I641" s="66"/>
      <c r="J641" s="1"/>
      <c r="K641" s="1"/>
      <c r="L641" s="1"/>
      <c r="M641" s="1"/>
      <c r="N641" s="9"/>
      <c r="O641" s="9"/>
      <c r="P641" s="9"/>
      <c r="Q641" s="1"/>
      <c r="R641" s="1"/>
    </row>
    <row r="642" spans="1:18" x14ac:dyDescent="0.2">
      <c r="A642" s="15"/>
      <c r="B642" s="66"/>
      <c r="C642" s="1"/>
      <c r="D642" s="66"/>
      <c r="E642" s="1"/>
      <c r="F642" s="66"/>
      <c r="G642" s="66"/>
      <c r="H642" s="66"/>
      <c r="I642" s="66"/>
      <c r="J642" s="1"/>
      <c r="K642" s="1"/>
      <c r="L642" s="1"/>
      <c r="M642" s="1"/>
      <c r="N642" s="9"/>
      <c r="O642" s="9"/>
      <c r="P642" s="9"/>
      <c r="Q642" s="1"/>
      <c r="R642" s="1"/>
    </row>
    <row r="643" spans="1:18" x14ac:dyDescent="0.2">
      <c r="A643" s="15"/>
      <c r="B643" s="66"/>
      <c r="C643" s="1"/>
      <c r="D643" s="66"/>
      <c r="E643" s="1"/>
      <c r="F643" s="66"/>
      <c r="G643" s="66"/>
      <c r="H643" s="66"/>
      <c r="I643" s="66"/>
      <c r="J643" s="1"/>
      <c r="K643" s="1"/>
      <c r="L643" s="1"/>
      <c r="M643" s="1"/>
      <c r="N643" s="9"/>
      <c r="O643" s="9"/>
      <c r="P643" s="9"/>
      <c r="Q643" s="1"/>
      <c r="R643" s="1"/>
    </row>
    <row r="644" spans="1:18" x14ac:dyDescent="0.2">
      <c r="A644" s="15"/>
      <c r="B644" s="66"/>
      <c r="C644" s="1"/>
      <c r="D644" s="66"/>
      <c r="E644" s="1"/>
      <c r="F644" s="66"/>
      <c r="G644" s="66"/>
      <c r="H644" s="66"/>
      <c r="I644" s="66"/>
      <c r="J644" s="1"/>
      <c r="K644" s="1"/>
      <c r="L644" s="1"/>
      <c r="M644" s="1"/>
      <c r="N644" s="9"/>
      <c r="O644" s="9"/>
      <c r="P644" s="9"/>
      <c r="Q644" s="1"/>
      <c r="R644" s="1"/>
    </row>
    <row r="645" spans="1:18" x14ac:dyDescent="0.2">
      <c r="A645" s="15"/>
      <c r="B645" s="66"/>
      <c r="C645" s="1"/>
      <c r="D645" s="66"/>
      <c r="E645" s="1"/>
      <c r="F645" s="66"/>
      <c r="G645" s="66"/>
      <c r="H645" s="66"/>
      <c r="I645" s="66"/>
      <c r="J645" s="1"/>
      <c r="K645" s="1"/>
      <c r="L645" s="1"/>
      <c r="M645" s="1"/>
      <c r="N645" s="9"/>
      <c r="O645" s="9"/>
      <c r="P645" s="9"/>
      <c r="Q645" s="1"/>
      <c r="R645" s="1"/>
    </row>
    <row r="646" spans="1:18" x14ac:dyDescent="0.2">
      <c r="A646" s="15"/>
      <c r="B646" s="66"/>
      <c r="C646" s="1"/>
      <c r="D646" s="66"/>
      <c r="E646" s="1"/>
      <c r="F646" s="66"/>
      <c r="G646" s="66"/>
      <c r="H646" s="66"/>
      <c r="I646" s="66"/>
      <c r="J646" s="1"/>
      <c r="K646" s="1"/>
      <c r="L646" s="1"/>
      <c r="M646" s="1"/>
      <c r="N646" s="9"/>
      <c r="O646" s="9"/>
      <c r="P646" s="9"/>
      <c r="Q646" s="1"/>
      <c r="R646" s="1"/>
    </row>
    <row r="647" spans="1:18" x14ac:dyDescent="0.2">
      <c r="A647" s="15"/>
      <c r="B647" s="66"/>
      <c r="C647" s="1"/>
      <c r="D647" s="66"/>
      <c r="E647" s="1"/>
      <c r="F647" s="66"/>
      <c r="G647" s="66"/>
      <c r="H647" s="66"/>
      <c r="I647" s="66"/>
      <c r="J647" s="1"/>
      <c r="K647" s="1"/>
      <c r="L647" s="1"/>
      <c r="M647" s="1"/>
      <c r="N647" s="9"/>
      <c r="O647" s="9"/>
      <c r="P647" s="9"/>
      <c r="Q647" s="1"/>
      <c r="R647" s="1"/>
    </row>
    <row r="648" spans="1:18" x14ac:dyDescent="0.2">
      <c r="A648" s="15"/>
      <c r="B648" s="66"/>
      <c r="C648" s="1"/>
      <c r="D648" s="66"/>
      <c r="E648" s="1"/>
      <c r="F648" s="66"/>
      <c r="G648" s="66"/>
      <c r="H648" s="66"/>
      <c r="I648" s="66"/>
      <c r="J648" s="1"/>
      <c r="K648" s="1"/>
      <c r="L648" s="1"/>
      <c r="M648" s="1"/>
      <c r="N648" s="9"/>
      <c r="O648" s="9"/>
      <c r="P648" s="9"/>
      <c r="Q648" s="1"/>
      <c r="R648" s="1"/>
    </row>
    <row r="649" spans="1:18" x14ac:dyDescent="0.2">
      <c r="A649" s="15"/>
      <c r="B649" s="66"/>
      <c r="C649" s="1"/>
      <c r="D649" s="66"/>
      <c r="E649" s="1"/>
      <c r="F649" s="66"/>
      <c r="G649" s="66"/>
      <c r="H649" s="66"/>
      <c r="I649" s="66"/>
      <c r="J649" s="1"/>
      <c r="K649" s="1"/>
      <c r="L649" s="1"/>
      <c r="M649" s="1"/>
      <c r="N649" s="9"/>
      <c r="O649" s="9"/>
      <c r="P649" s="9"/>
      <c r="Q649" s="1"/>
      <c r="R649" s="1"/>
    </row>
    <row r="650" spans="1:18" x14ac:dyDescent="0.2">
      <c r="A650" s="15"/>
      <c r="B650" s="66"/>
      <c r="C650" s="1"/>
      <c r="D650" s="66"/>
      <c r="E650" s="1"/>
      <c r="F650" s="66"/>
      <c r="G650" s="66"/>
      <c r="H650" s="66"/>
      <c r="I650" s="66"/>
      <c r="J650" s="1"/>
      <c r="K650" s="1"/>
      <c r="L650" s="1"/>
      <c r="M650" s="1"/>
      <c r="N650" s="9"/>
      <c r="O650" s="9"/>
      <c r="P650" s="9"/>
      <c r="Q650" s="1"/>
      <c r="R650" s="1"/>
    </row>
    <row r="651" spans="1:18" x14ac:dyDescent="0.2">
      <c r="A651" s="15"/>
      <c r="B651" s="66"/>
      <c r="C651" s="1"/>
      <c r="D651" s="66"/>
      <c r="E651" s="1"/>
      <c r="F651" s="66"/>
      <c r="G651" s="66"/>
      <c r="H651" s="66"/>
      <c r="I651" s="66"/>
      <c r="J651" s="1"/>
      <c r="K651" s="1"/>
      <c r="L651" s="1"/>
      <c r="M651" s="1"/>
      <c r="N651" s="9"/>
      <c r="O651" s="9"/>
      <c r="P651" s="9"/>
      <c r="Q651" s="1"/>
      <c r="R651" s="1"/>
    </row>
    <row r="652" spans="1:18" x14ac:dyDescent="0.2">
      <c r="A652" s="15"/>
      <c r="B652" s="66"/>
      <c r="C652" s="1"/>
      <c r="D652" s="66"/>
      <c r="E652" s="1"/>
      <c r="F652" s="66"/>
      <c r="G652" s="66"/>
      <c r="H652" s="66"/>
      <c r="I652" s="66"/>
      <c r="J652" s="1"/>
      <c r="K652" s="1"/>
      <c r="L652" s="1"/>
      <c r="M652" s="1"/>
      <c r="N652" s="9"/>
      <c r="O652" s="9"/>
      <c r="P652" s="9"/>
      <c r="Q652" s="1"/>
      <c r="R652" s="1"/>
    </row>
    <row r="653" spans="1:18" x14ac:dyDescent="0.2">
      <c r="A653" s="15"/>
      <c r="B653" s="66"/>
      <c r="C653" s="1"/>
      <c r="D653" s="66"/>
      <c r="E653" s="1"/>
      <c r="F653" s="66"/>
      <c r="G653" s="66"/>
      <c r="H653" s="66"/>
      <c r="I653" s="66"/>
      <c r="J653" s="1"/>
      <c r="K653" s="1"/>
      <c r="L653" s="1"/>
      <c r="M653" s="1"/>
      <c r="N653" s="9"/>
      <c r="O653" s="9"/>
      <c r="P653" s="9"/>
      <c r="Q653" s="1"/>
      <c r="R653" s="1"/>
    </row>
    <row r="654" spans="1:18" x14ac:dyDescent="0.2">
      <c r="A654" s="15"/>
      <c r="B654" s="66"/>
      <c r="C654" s="1"/>
      <c r="D654" s="66"/>
      <c r="E654" s="1"/>
      <c r="F654" s="66"/>
      <c r="G654" s="66"/>
      <c r="H654" s="66"/>
      <c r="I654" s="66"/>
      <c r="J654" s="1"/>
      <c r="K654" s="1"/>
      <c r="L654" s="1"/>
      <c r="M654" s="1"/>
      <c r="N654" s="9"/>
      <c r="O654" s="9"/>
      <c r="P654" s="9"/>
      <c r="Q654" s="1"/>
      <c r="R654" s="1"/>
    </row>
    <row r="655" spans="1:18" x14ac:dyDescent="0.2">
      <c r="A655" s="15"/>
      <c r="B655" s="66"/>
      <c r="C655" s="1"/>
      <c r="D655" s="66"/>
      <c r="E655" s="1"/>
      <c r="F655" s="66"/>
      <c r="G655" s="66"/>
      <c r="H655" s="66"/>
      <c r="I655" s="66"/>
      <c r="J655" s="1"/>
      <c r="K655" s="1"/>
      <c r="L655" s="1"/>
      <c r="M655" s="1"/>
      <c r="N655" s="9"/>
      <c r="O655" s="9"/>
      <c r="P655" s="9"/>
      <c r="Q655" s="1"/>
      <c r="R655" s="1"/>
    </row>
    <row r="656" spans="1:18" x14ac:dyDescent="0.2">
      <c r="A656" s="15"/>
      <c r="B656" s="66"/>
      <c r="C656" s="1"/>
      <c r="D656" s="66"/>
      <c r="E656" s="1"/>
      <c r="F656" s="66"/>
      <c r="G656" s="66"/>
      <c r="H656" s="66"/>
      <c r="I656" s="66"/>
      <c r="J656" s="1"/>
      <c r="K656" s="1"/>
      <c r="L656" s="1"/>
      <c r="M656" s="1"/>
      <c r="N656" s="9"/>
      <c r="O656" s="9"/>
      <c r="P656" s="9"/>
      <c r="Q656" s="1"/>
      <c r="R656" s="1"/>
    </row>
    <row r="657" spans="1:18" x14ac:dyDescent="0.2">
      <c r="A657" s="15"/>
      <c r="B657" s="66"/>
      <c r="C657" s="1"/>
      <c r="D657" s="66"/>
      <c r="E657" s="1"/>
      <c r="F657" s="66"/>
      <c r="G657" s="66"/>
      <c r="H657" s="66"/>
      <c r="I657" s="66"/>
      <c r="J657" s="1"/>
      <c r="K657" s="1"/>
      <c r="L657" s="1"/>
      <c r="M657" s="1"/>
      <c r="N657" s="9"/>
      <c r="O657" s="9"/>
      <c r="P657" s="9"/>
      <c r="Q657" s="1"/>
      <c r="R657" s="1"/>
    </row>
    <row r="658" spans="1:18" x14ac:dyDescent="0.2">
      <c r="A658" s="15"/>
      <c r="B658" s="66"/>
      <c r="C658" s="1"/>
      <c r="D658" s="66"/>
      <c r="E658" s="1"/>
      <c r="F658" s="66"/>
      <c r="G658" s="66"/>
      <c r="H658" s="66"/>
      <c r="I658" s="66"/>
      <c r="J658" s="1"/>
      <c r="K658" s="1"/>
      <c r="L658" s="1"/>
      <c r="M658" s="1"/>
      <c r="N658" s="9"/>
      <c r="O658" s="9"/>
      <c r="P658" s="9"/>
      <c r="Q658" s="1"/>
      <c r="R658" s="1"/>
    </row>
    <row r="659" spans="1:18" x14ac:dyDescent="0.2">
      <c r="A659" s="15"/>
      <c r="B659" s="66"/>
      <c r="C659" s="1"/>
      <c r="D659" s="66"/>
      <c r="E659" s="1"/>
      <c r="F659" s="66"/>
      <c r="G659" s="66"/>
      <c r="H659" s="66"/>
      <c r="I659" s="66"/>
      <c r="J659" s="1"/>
      <c r="K659" s="1"/>
      <c r="L659" s="1"/>
      <c r="M659" s="1"/>
      <c r="N659" s="9"/>
      <c r="O659" s="9"/>
      <c r="P659" s="9"/>
      <c r="Q659" s="1"/>
      <c r="R659" s="1"/>
    </row>
    <row r="660" spans="1:18" x14ac:dyDescent="0.2">
      <c r="A660" s="15"/>
      <c r="B660" s="66"/>
      <c r="C660" s="1"/>
      <c r="D660" s="66"/>
      <c r="E660" s="1"/>
      <c r="F660" s="66"/>
      <c r="G660" s="66"/>
      <c r="H660" s="66"/>
      <c r="I660" s="66"/>
      <c r="J660" s="1"/>
      <c r="K660" s="1"/>
      <c r="L660" s="1"/>
      <c r="M660" s="1"/>
      <c r="N660" s="9"/>
      <c r="O660" s="9"/>
      <c r="P660" s="9"/>
      <c r="Q660" s="1"/>
      <c r="R660" s="1"/>
    </row>
    <row r="661" spans="1:18" x14ac:dyDescent="0.2">
      <c r="A661" s="15"/>
      <c r="B661" s="66"/>
      <c r="C661" s="1"/>
      <c r="D661" s="66"/>
      <c r="E661" s="1"/>
      <c r="F661" s="66"/>
      <c r="G661" s="66"/>
      <c r="H661" s="66"/>
      <c r="I661" s="66"/>
      <c r="J661" s="1"/>
      <c r="K661" s="1"/>
      <c r="L661" s="1"/>
      <c r="M661" s="1"/>
      <c r="N661" s="9"/>
      <c r="O661" s="9"/>
      <c r="P661" s="9"/>
      <c r="Q661" s="1"/>
      <c r="R661" s="1"/>
    </row>
    <row r="662" spans="1:18" x14ac:dyDescent="0.2">
      <c r="A662" s="15"/>
      <c r="B662" s="66"/>
      <c r="C662" s="1"/>
      <c r="D662" s="66"/>
      <c r="E662" s="1"/>
      <c r="F662" s="66"/>
      <c r="G662" s="66"/>
      <c r="H662" s="66"/>
      <c r="I662" s="66"/>
      <c r="J662" s="1"/>
      <c r="K662" s="1"/>
      <c r="L662" s="1"/>
      <c r="M662" s="1"/>
      <c r="N662" s="9"/>
      <c r="O662" s="9"/>
      <c r="P662" s="9"/>
      <c r="Q662" s="1"/>
      <c r="R662" s="1"/>
    </row>
    <row r="663" spans="1:18" x14ac:dyDescent="0.2">
      <c r="A663" s="15"/>
      <c r="B663" s="66"/>
      <c r="C663" s="1"/>
      <c r="D663" s="66"/>
      <c r="E663" s="1"/>
      <c r="F663" s="66"/>
      <c r="G663" s="66"/>
      <c r="H663" s="66"/>
      <c r="I663" s="66"/>
      <c r="J663" s="1"/>
      <c r="K663" s="1"/>
      <c r="L663" s="1"/>
      <c r="M663" s="1"/>
      <c r="N663" s="9"/>
      <c r="O663" s="9"/>
      <c r="P663" s="9"/>
      <c r="Q663" s="1"/>
      <c r="R663" s="1"/>
    </row>
    <row r="664" spans="1:18" x14ac:dyDescent="0.2">
      <c r="A664" s="15"/>
      <c r="B664" s="66"/>
      <c r="C664" s="1"/>
      <c r="D664" s="66"/>
      <c r="E664" s="1"/>
      <c r="F664" s="66"/>
      <c r="G664" s="66"/>
      <c r="H664" s="66"/>
      <c r="I664" s="66"/>
      <c r="J664" s="1"/>
      <c r="K664" s="1"/>
      <c r="L664" s="1"/>
      <c r="M664" s="1"/>
      <c r="N664" s="9"/>
      <c r="O664" s="9"/>
      <c r="P664" s="9"/>
      <c r="Q664" s="1"/>
      <c r="R664" s="1"/>
    </row>
    <row r="665" spans="1:18" x14ac:dyDescent="0.2">
      <c r="A665" s="15"/>
      <c r="B665" s="66"/>
      <c r="C665" s="1"/>
      <c r="D665" s="66"/>
      <c r="E665" s="1"/>
      <c r="F665" s="66"/>
      <c r="G665" s="66"/>
      <c r="H665" s="66"/>
      <c r="I665" s="66"/>
      <c r="J665" s="1"/>
      <c r="K665" s="1"/>
      <c r="L665" s="1"/>
      <c r="M665" s="1"/>
      <c r="N665" s="9"/>
      <c r="O665" s="9"/>
      <c r="P665" s="9"/>
      <c r="Q665" s="1"/>
      <c r="R665" s="1"/>
    </row>
    <row r="666" spans="1:18" x14ac:dyDescent="0.2">
      <c r="A666" s="15"/>
      <c r="B666" s="66"/>
      <c r="C666" s="1"/>
      <c r="D666" s="66"/>
      <c r="E666" s="1"/>
      <c r="F666" s="66"/>
      <c r="G666" s="66"/>
      <c r="H666" s="66"/>
      <c r="I666" s="66"/>
      <c r="J666" s="1"/>
      <c r="K666" s="1"/>
      <c r="L666" s="1"/>
      <c r="M666" s="1"/>
      <c r="N666" s="9"/>
      <c r="O666" s="9"/>
      <c r="P666" s="9"/>
      <c r="Q666" s="1"/>
      <c r="R666" s="1"/>
    </row>
    <row r="667" spans="1:18" x14ac:dyDescent="0.2">
      <c r="A667" s="15"/>
      <c r="B667" s="66"/>
      <c r="C667" s="1"/>
      <c r="D667" s="66"/>
      <c r="E667" s="1"/>
      <c r="F667" s="66"/>
      <c r="G667" s="66"/>
      <c r="H667" s="66"/>
      <c r="I667" s="66"/>
      <c r="J667" s="1"/>
      <c r="K667" s="1"/>
      <c r="L667" s="1"/>
      <c r="M667" s="1"/>
      <c r="N667" s="9"/>
      <c r="O667" s="9"/>
      <c r="P667" s="9"/>
      <c r="Q667" s="1"/>
      <c r="R667" s="1"/>
    </row>
    <row r="668" spans="1:18" x14ac:dyDescent="0.2">
      <c r="A668" s="15"/>
      <c r="B668" s="66"/>
      <c r="C668" s="1"/>
      <c r="D668" s="66"/>
      <c r="E668" s="1"/>
      <c r="F668" s="66"/>
      <c r="G668" s="66"/>
      <c r="H668" s="66"/>
      <c r="I668" s="66"/>
      <c r="J668" s="1"/>
      <c r="K668" s="1"/>
      <c r="L668" s="1"/>
      <c r="M668" s="1"/>
      <c r="N668" s="9"/>
      <c r="O668" s="9"/>
      <c r="P668" s="9"/>
      <c r="Q668" s="1"/>
      <c r="R668" s="1"/>
    </row>
    <row r="669" spans="1:18" x14ac:dyDescent="0.2">
      <c r="A669" s="15"/>
      <c r="B669" s="66"/>
      <c r="C669" s="1"/>
      <c r="D669" s="66"/>
      <c r="E669" s="1"/>
      <c r="F669" s="66"/>
      <c r="G669" s="66"/>
      <c r="H669" s="66"/>
      <c r="I669" s="66"/>
      <c r="J669" s="1"/>
      <c r="K669" s="1"/>
      <c r="L669" s="1"/>
      <c r="M669" s="1"/>
      <c r="N669" s="9"/>
      <c r="O669" s="9"/>
      <c r="P669" s="9"/>
      <c r="Q669" s="1"/>
      <c r="R669" s="1"/>
    </row>
    <row r="670" spans="1:18" x14ac:dyDescent="0.2">
      <c r="A670" s="15"/>
      <c r="B670" s="66"/>
      <c r="C670" s="1"/>
      <c r="D670" s="66"/>
      <c r="E670" s="1"/>
      <c r="F670" s="66"/>
      <c r="G670" s="66"/>
      <c r="H670" s="66"/>
      <c r="I670" s="66"/>
      <c r="J670" s="1"/>
      <c r="K670" s="1"/>
      <c r="L670" s="1"/>
      <c r="M670" s="1"/>
      <c r="N670" s="9"/>
      <c r="O670" s="9"/>
      <c r="P670" s="9"/>
      <c r="Q670" s="1"/>
      <c r="R670" s="1"/>
    </row>
    <row r="671" spans="1:18" x14ac:dyDescent="0.2">
      <c r="A671" s="15"/>
      <c r="B671" s="66"/>
      <c r="C671" s="1"/>
      <c r="D671" s="66"/>
      <c r="E671" s="1"/>
      <c r="F671" s="66"/>
      <c r="G671" s="66"/>
      <c r="H671" s="66"/>
      <c r="I671" s="66"/>
      <c r="J671" s="1"/>
      <c r="K671" s="1"/>
      <c r="L671" s="1"/>
      <c r="M671" s="1"/>
      <c r="N671" s="9"/>
      <c r="O671" s="9"/>
      <c r="P671" s="9"/>
      <c r="Q671" s="1"/>
      <c r="R671" s="1"/>
    </row>
    <row r="672" spans="1:18" x14ac:dyDescent="0.2">
      <c r="A672" s="15"/>
      <c r="B672" s="66"/>
      <c r="C672" s="1"/>
      <c r="D672" s="66"/>
      <c r="E672" s="1"/>
      <c r="F672" s="66"/>
      <c r="G672" s="66"/>
      <c r="H672" s="66"/>
      <c r="I672" s="66"/>
      <c r="J672" s="1"/>
      <c r="K672" s="1"/>
      <c r="L672" s="1"/>
      <c r="M672" s="1"/>
      <c r="N672" s="9"/>
      <c r="O672" s="9"/>
      <c r="P672" s="9"/>
      <c r="Q672" s="1"/>
      <c r="R672" s="1"/>
    </row>
    <row r="673" spans="1:18" x14ac:dyDescent="0.2">
      <c r="A673" s="15"/>
      <c r="B673" s="66"/>
      <c r="C673" s="1"/>
      <c r="D673" s="66"/>
      <c r="E673" s="1"/>
      <c r="F673" s="66"/>
      <c r="G673" s="66"/>
      <c r="H673" s="66"/>
      <c r="I673" s="66"/>
      <c r="J673" s="1"/>
      <c r="K673" s="1"/>
      <c r="L673" s="1"/>
      <c r="M673" s="1"/>
      <c r="N673" s="9"/>
      <c r="O673" s="9"/>
      <c r="P673" s="9"/>
      <c r="Q673" s="1"/>
      <c r="R673" s="1"/>
    </row>
    <row r="674" spans="1:18" x14ac:dyDescent="0.2">
      <c r="A674" s="15"/>
      <c r="B674" s="66"/>
      <c r="C674" s="1"/>
      <c r="D674" s="66"/>
      <c r="E674" s="1"/>
      <c r="F674" s="66"/>
      <c r="G674" s="66"/>
      <c r="H674" s="66"/>
      <c r="I674" s="66"/>
      <c r="J674" s="1"/>
      <c r="K674" s="1"/>
      <c r="L674" s="1"/>
      <c r="M674" s="1"/>
      <c r="N674" s="9"/>
      <c r="O674" s="9"/>
      <c r="P674" s="9"/>
      <c r="Q674" s="1"/>
      <c r="R674" s="1"/>
    </row>
    <row r="675" spans="1:18" x14ac:dyDescent="0.2">
      <c r="A675" s="15"/>
      <c r="B675" s="66"/>
      <c r="C675" s="1"/>
      <c r="D675" s="66"/>
      <c r="E675" s="1"/>
      <c r="F675" s="66"/>
      <c r="G675" s="66"/>
      <c r="H675" s="66"/>
      <c r="I675" s="66"/>
      <c r="J675" s="1"/>
      <c r="K675" s="1"/>
      <c r="L675" s="1"/>
      <c r="M675" s="1"/>
      <c r="N675" s="9"/>
      <c r="O675" s="9"/>
      <c r="P675" s="9"/>
      <c r="Q675" s="1"/>
      <c r="R675" s="1"/>
    </row>
    <row r="676" spans="1:18" x14ac:dyDescent="0.2">
      <c r="A676" s="15"/>
      <c r="B676" s="66"/>
      <c r="C676" s="1"/>
      <c r="D676" s="66"/>
      <c r="E676" s="1"/>
      <c r="F676" s="66"/>
      <c r="G676" s="66"/>
      <c r="H676" s="66"/>
      <c r="I676" s="66"/>
      <c r="J676" s="1"/>
      <c r="K676" s="1"/>
      <c r="L676" s="1"/>
      <c r="M676" s="1"/>
      <c r="N676" s="9"/>
      <c r="O676" s="9"/>
      <c r="P676" s="9"/>
      <c r="Q676" s="1"/>
      <c r="R676" s="1"/>
    </row>
    <row r="677" spans="1:18" x14ac:dyDescent="0.2">
      <c r="A677" s="15"/>
      <c r="B677" s="66"/>
      <c r="C677" s="1"/>
      <c r="D677" s="66"/>
      <c r="E677" s="1"/>
      <c r="F677" s="66"/>
      <c r="G677" s="66"/>
      <c r="H677" s="66"/>
      <c r="I677" s="66"/>
      <c r="J677" s="1"/>
      <c r="K677" s="1"/>
      <c r="L677" s="1"/>
      <c r="M677" s="1"/>
      <c r="N677" s="9"/>
      <c r="O677" s="9"/>
      <c r="P677" s="9"/>
      <c r="Q677" s="1"/>
      <c r="R677" s="1"/>
    </row>
    <row r="678" spans="1:18" x14ac:dyDescent="0.2">
      <c r="A678" s="15"/>
      <c r="B678" s="66"/>
      <c r="C678" s="1"/>
      <c r="D678" s="66"/>
      <c r="E678" s="1"/>
      <c r="F678" s="66"/>
      <c r="G678" s="66"/>
      <c r="H678" s="66"/>
      <c r="I678" s="66"/>
      <c r="J678" s="1"/>
      <c r="K678" s="1"/>
      <c r="L678" s="1"/>
      <c r="M678" s="1"/>
      <c r="N678" s="9"/>
      <c r="O678" s="9"/>
      <c r="P678" s="9"/>
      <c r="Q678" s="1"/>
      <c r="R678" s="1"/>
    </row>
    <row r="679" spans="1:18" x14ac:dyDescent="0.2">
      <c r="A679" s="15"/>
      <c r="B679" s="66"/>
      <c r="C679" s="1"/>
      <c r="D679" s="66"/>
      <c r="E679" s="1"/>
      <c r="F679" s="66"/>
      <c r="G679" s="66"/>
      <c r="H679" s="66"/>
      <c r="I679" s="66"/>
      <c r="J679" s="1"/>
      <c r="K679" s="1"/>
      <c r="L679" s="1"/>
      <c r="M679" s="1"/>
      <c r="N679" s="9"/>
      <c r="O679" s="9"/>
      <c r="P679" s="9"/>
      <c r="Q679" s="1"/>
      <c r="R679" s="1"/>
    </row>
    <row r="680" spans="1:18" x14ac:dyDescent="0.2">
      <c r="A680" s="15"/>
      <c r="B680" s="66"/>
      <c r="C680" s="1"/>
      <c r="D680" s="66"/>
      <c r="E680" s="1"/>
      <c r="F680" s="66"/>
      <c r="G680" s="66"/>
      <c r="H680" s="66"/>
      <c r="I680" s="66"/>
      <c r="J680" s="1"/>
      <c r="K680" s="1"/>
      <c r="L680" s="1"/>
      <c r="M680" s="1"/>
      <c r="N680" s="9"/>
      <c r="O680" s="9"/>
      <c r="P680" s="9"/>
      <c r="Q680" s="1"/>
      <c r="R680" s="1"/>
    </row>
    <row r="681" spans="1:18" x14ac:dyDescent="0.2">
      <c r="A681" s="15"/>
      <c r="B681" s="66"/>
      <c r="C681" s="1"/>
      <c r="D681" s="66"/>
      <c r="E681" s="1"/>
      <c r="F681" s="66"/>
      <c r="G681" s="66"/>
      <c r="H681" s="66"/>
      <c r="I681" s="66"/>
      <c r="J681" s="1"/>
      <c r="K681" s="1"/>
      <c r="L681" s="1"/>
      <c r="M681" s="1"/>
      <c r="N681" s="9"/>
      <c r="O681" s="9"/>
      <c r="P681" s="9"/>
      <c r="Q681" s="1"/>
      <c r="R681" s="1"/>
    </row>
    <row r="682" spans="1:18" x14ac:dyDescent="0.2">
      <c r="A682" s="15"/>
      <c r="B682" s="66"/>
      <c r="C682" s="1"/>
      <c r="D682" s="66"/>
      <c r="E682" s="1"/>
      <c r="F682" s="66"/>
      <c r="G682" s="66"/>
      <c r="H682" s="66"/>
      <c r="I682" s="66"/>
      <c r="J682" s="1"/>
      <c r="K682" s="1"/>
      <c r="L682" s="1"/>
      <c r="M682" s="1"/>
      <c r="N682" s="9"/>
      <c r="O682" s="9"/>
      <c r="P682" s="9"/>
      <c r="Q682" s="1"/>
      <c r="R682" s="1"/>
    </row>
    <row r="683" spans="1:18" x14ac:dyDescent="0.2">
      <c r="A683" s="15"/>
      <c r="B683" s="66"/>
      <c r="C683" s="1"/>
      <c r="D683" s="66"/>
      <c r="E683" s="1"/>
      <c r="F683" s="66"/>
      <c r="G683" s="66"/>
      <c r="H683" s="66"/>
      <c r="I683" s="66"/>
      <c r="J683" s="1"/>
      <c r="K683" s="1"/>
      <c r="L683" s="1"/>
      <c r="M683" s="1"/>
      <c r="N683" s="9"/>
      <c r="O683" s="9"/>
      <c r="P683" s="9"/>
      <c r="Q683" s="1"/>
      <c r="R683" s="1"/>
    </row>
    <row r="684" spans="1:18" x14ac:dyDescent="0.2">
      <c r="A684" s="15"/>
      <c r="B684" s="66"/>
      <c r="C684" s="1"/>
      <c r="D684" s="66"/>
      <c r="E684" s="1"/>
      <c r="F684" s="66"/>
      <c r="G684" s="66"/>
      <c r="H684" s="66"/>
      <c r="I684" s="66"/>
      <c r="J684" s="1"/>
      <c r="K684" s="1"/>
      <c r="L684" s="1"/>
      <c r="M684" s="1"/>
      <c r="N684" s="9"/>
      <c r="O684" s="9"/>
      <c r="P684" s="9"/>
      <c r="Q684" s="1"/>
      <c r="R684" s="1"/>
    </row>
    <row r="685" spans="1:18" x14ac:dyDescent="0.2">
      <c r="A685" s="15"/>
      <c r="B685" s="66"/>
      <c r="C685" s="1"/>
      <c r="D685" s="66"/>
      <c r="E685" s="1"/>
      <c r="F685" s="66"/>
      <c r="G685" s="66"/>
      <c r="H685" s="66"/>
      <c r="I685" s="66"/>
      <c r="J685" s="1"/>
      <c r="K685" s="1"/>
      <c r="L685" s="1"/>
      <c r="M685" s="1"/>
      <c r="N685" s="9"/>
      <c r="O685" s="9"/>
      <c r="P685" s="9"/>
      <c r="Q685" s="1"/>
      <c r="R685" s="1"/>
    </row>
    <row r="686" spans="1:18" x14ac:dyDescent="0.2">
      <c r="A686" s="15"/>
      <c r="B686" s="66"/>
      <c r="C686" s="1"/>
      <c r="D686" s="66"/>
      <c r="E686" s="1"/>
      <c r="F686" s="66"/>
      <c r="G686" s="66"/>
      <c r="H686" s="66"/>
      <c r="I686" s="66"/>
      <c r="J686" s="1"/>
      <c r="K686" s="1"/>
      <c r="L686" s="1"/>
      <c r="M686" s="1"/>
      <c r="N686" s="9"/>
      <c r="O686" s="9"/>
      <c r="P686" s="9"/>
      <c r="Q686" s="1"/>
      <c r="R686" s="1"/>
    </row>
    <row r="687" spans="1:18" x14ac:dyDescent="0.2">
      <c r="A687" s="15"/>
      <c r="B687" s="66"/>
      <c r="C687" s="1"/>
      <c r="D687" s="66"/>
      <c r="E687" s="1"/>
      <c r="F687" s="66"/>
      <c r="G687" s="66"/>
      <c r="H687" s="66"/>
      <c r="I687" s="66"/>
      <c r="J687" s="1"/>
      <c r="K687" s="1"/>
      <c r="L687" s="1"/>
      <c r="M687" s="1"/>
      <c r="N687" s="9"/>
      <c r="O687" s="9"/>
      <c r="P687" s="9"/>
      <c r="Q687" s="1"/>
      <c r="R687" s="1"/>
    </row>
    <row r="688" spans="1:18" x14ac:dyDescent="0.2">
      <c r="A688" s="15"/>
      <c r="B688" s="66"/>
      <c r="C688" s="1"/>
      <c r="D688" s="66"/>
      <c r="E688" s="1"/>
      <c r="F688" s="66"/>
      <c r="G688" s="66"/>
      <c r="H688" s="66"/>
      <c r="I688" s="66"/>
      <c r="J688" s="1"/>
      <c r="K688" s="1"/>
      <c r="L688" s="1"/>
      <c r="M688" s="1"/>
      <c r="N688" s="9"/>
      <c r="O688" s="9"/>
      <c r="P688" s="9"/>
      <c r="Q688" s="1"/>
      <c r="R688" s="1"/>
    </row>
    <row r="689" spans="1:18" x14ac:dyDescent="0.2">
      <c r="A689" s="15"/>
      <c r="B689" s="66"/>
      <c r="C689" s="1"/>
      <c r="D689" s="66"/>
      <c r="E689" s="1"/>
      <c r="F689" s="66"/>
      <c r="G689" s="66"/>
      <c r="H689" s="66"/>
      <c r="I689" s="66"/>
      <c r="J689" s="1"/>
      <c r="K689" s="1"/>
      <c r="L689" s="1"/>
      <c r="M689" s="1"/>
      <c r="N689" s="9"/>
      <c r="O689" s="9"/>
      <c r="P689" s="9"/>
      <c r="Q689" s="1"/>
      <c r="R689" s="1"/>
    </row>
    <row r="690" spans="1:18" x14ac:dyDescent="0.2">
      <c r="A690" s="15"/>
      <c r="B690" s="66"/>
      <c r="C690" s="1"/>
      <c r="D690" s="66"/>
      <c r="E690" s="1"/>
      <c r="F690" s="66"/>
      <c r="G690" s="66"/>
      <c r="H690" s="66"/>
      <c r="I690" s="66"/>
      <c r="J690" s="1"/>
      <c r="K690" s="1"/>
      <c r="L690" s="1"/>
      <c r="M690" s="1"/>
      <c r="N690" s="9"/>
      <c r="O690" s="9"/>
      <c r="P690" s="9"/>
      <c r="Q690" s="1"/>
      <c r="R690" s="1"/>
    </row>
    <row r="691" spans="1:18" x14ac:dyDescent="0.2">
      <c r="A691" s="15"/>
      <c r="B691" s="66"/>
      <c r="C691" s="1"/>
      <c r="D691" s="66"/>
      <c r="E691" s="1"/>
      <c r="F691" s="66"/>
      <c r="G691" s="66"/>
      <c r="H691" s="66"/>
      <c r="I691" s="66"/>
      <c r="J691" s="1"/>
      <c r="K691" s="1"/>
      <c r="L691" s="1"/>
      <c r="M691" s="1"/>
      <c r="N691" s="9"/>
      <c r="O691" s="9"/>
      <c r="P691" s="9"/>
      <c r="Q691" s="1"/>
      <c r="R691" s="1"/>
    </row>
    <row r="692" spans="1:18" x14ac:dyDescent="0.2">
      <c r="A692" s="15"/>
      <c r="B692" s="66"/>
      <c r="C692" s="1"/>
      <c r="D692" s="66"/>
      <c r="E692" s="1"/>
      <c r="F692" s="66"/>
      <c r="G692" s="66"/>
      <c r="H692" s="66"/>
      <c r="I692" s="66"/>
      <c r="J692" s="1"/>
      <c r="K692" s="1"/>
      <c r="L692" s="1"/>
      <c r="M692" s="1"/>
      <c r="N692" s="9"/>
      <c r="O692" s="9"/>
      <c r="P692" s="9"/>
      <c r="Q692" s="1"/>
      <c r="R692" s="1"/>
    </row>
    <row r="693" spans="1:18" x14ac:dyDescent="0.2">
      <c r="A693" s="15"/>
      <c r="B693" s="66"/>
      <c r="C693" s="1"/>
      <c r="D693" s="66"/>
      <c r="E693" s="1"/>
      <c r="F693" s="66"/>
      <c r="G693" s="66"/>
      <c r="H693" s="66"/>
      <c r="I693" s="66"/>
      <c r="J693" s="1"/>
      <c r="K693" s="1"/>
      <c r="L693" s="1"/>
      <c r="M693" s="1"/>
      <c r="N693" s="9"/>
      <c r="O693" s="9"/>
      <c r="P693" s="9"/>
      <c r="Q693" s="1"/>
      <c r="R693" s="1"/>
    </row>
    <row r="694" spans="1:18" x14ac:dyDescent="0.2">
      <c r="A694" s="15"/>
      <c r="B694" s="66"/>
      <c r="C694" s="1"/>
      <c r="D694" s="66"/>
      <c r="E694" s="1"/>
      <c r="F694" s="66"/>
      <c r="G694" s="66"/>
      <c r="H694" s="66"/>
      <c r="I694" s="66"/>
      <c r="J694" s="1"/>
      <c r="K694" s="1"/>
      <c r="L694" s="1"/>
      <c r="M694" s="1"/>
      <c r="N694" s="9"/>
      <c r="O694" s="9"/>
      <c r="P694" s="9"/>
      <c r="Q694" s="1"/>
      <c r="R694" s="1"/>
    </row>
    <row r="695" spans="1:18" x14ac:dyDescent="0.2">
      <c r="A695" s="15"/>
      <c r="B695" s="66"/>
      <c r="C695" s="1"/>
      <c r="D695" s="66"/>
      <c r="E695" s="1"/>
      <c r="F695" s="66"/>
      <c r="G695" s="66"/>
      <c r="H695" s="66"/>
      <c r="I695" s="66"/>
      <c r="J695" s="1"/>
      <c r="K695" s="1"/>
      <c r="L695" s="1"/>
      <c r="M695" s="1"/>
      <c r="N695" s="9"/>
      <c r="O695" s="9"/>
      <c r="P695" s="9"/>
      <c r="Q695" s="1"/>
      <c r="R695" s="1"/>
    </row>
    <row r="696" spans="1:18" x14ac:dyDescent="0.2">
      <c r="A696" s="15"/>
      <c r="B696" s="66"/>
      <c r="C696" s="1"/>
      <c r="D696" s="66"/>
      <c r="E696" s="1"/>
      <c r="F696" s="66"/>
      <c r="G696" s="66"/>
      <c r="H696" s="66"/>
      <c r="I696" s="66"/>
      <c r="J696" s="1"/>
      <c r="K696" s="1"/>
      <c r="L696" s="1"/>
      <c r="M696" s="1"/>
      <c r="N696" s="9"/>
      <c r="O696" s="9"/>
      <c r="P696" s="9"/>
      <c r="Q696" s="1"/>
      <c r="R696" s="1"/>
    </row>
    <row r="697" spans="1:18" x14ac:dyDescent="0.2">
      <c r="A697" s="15"/>
      <c r="B697" s="66"/>
      <c r="C697" s="1"/>
      <c r="D697" s="66"/>
      <c r="E697" s="1"/>
      <c r="F697" s="66"/>
      <c r="G697" s="66"/>
      <c r="H697" s="66"/>
      <c r="I697" s="66"/>
      <c r="J697" s="1"/>
      <c r="K697" s="1"/>
      <c r="L697" s="1"/>
      <c r="M697" s="1"/>
      <c r="N697" s="9"/>
      <c r="O697" s="9"/>
      <c r="P697" s="9"/>
      <c r="Q697" s="1"/>
      <c r="R697" s="1"/>
    </row>
    <row r="698" spans="1:18" x14ac:dyDescent="0.2">
      <c r="A698" s="15"/>
      <c r="B698" s="66"/>
      <c r="C698" s="1"/>
      <c r="D698" s="66"/>
      <c r="E698" s="1"/>
      <c r="F698" s="66"/>
      <c r="G698" s="66"/>
      <c r="H698" s="66"/>
      <c r="I698" s="66"/>
      <c r="J698" s="1"/>
      <c r="K698" s="1"/>
      <c r="L698" s="1"/>
      <c r="M698" s="1"/>
      <c r="N698" s="9"/>
      <c r="O698" s="9"/>
      <c r="P698" s="9"/>
      <c r="Q698" s="1"/>
      <c r="R698" s="1"/>
    </row>
    <row r="699" spans="1:18" x14ac:dyDescent="0.2">
      <c r="A699" s="15"/>
      <c r="B699" s="66"/>
      <c r="C699" s="1"/>
      <c r="D699" s="66"/>
      <c r="E699" s="1"/>
      <c r="F699" s="66"/>
      <c r="G699" s="66"/>
      <c r="H699" s="66"/>
      <c r="I699" s="66"/>
      <c r="J699" s="1"/>
      <c r="K699" s="1"/>
      <c r="L699" s="1"/>
      <c r="M699" s="1"/>
      <c r="N699" s="9"/>
      <c r="O699" s="9"/>
      <c r="P699" s="9"/>
      <c r="Q699" s="1"/>
      <c r="R699" s="1"/>
    </row>
    <row r="700" spans="1:18" x14ac:dyDescent="0.2">
      <c r="A700" s="15"/>
      <c r="B700" s="66"/>
      <c r="C700" s="1"/>
      <c r="D700" s="66"/>
      <c r="E700" s="1"/>
      <c r="F700" s="66"/>
      <c r="G700" s="66"/>
      <c r="H700" s="66"/>
      <c r="I700" s="66"/>
      <c r="J700" s="1"/>
      <c r="K700" s="1"/>
      <c r="L700" s="1"/>
      <c r="M700" s="1"/>
      <c r="N700" s="9"/>
      <c r="O700" s="9"/>
      <c r="P700" s="9"/>
      <c r="Q700" s="1"/>
      <c r="R700" s="1"/>
    </row>
    <row r="701" spans="1:18" x14ac:dyDescent="0.2">
      <c r="A701" s="15"/>
      <c r="B701" s="66"/>
      <c r="C701" s="1"/>
      <c r="D701" s="66"/>
      <c r="E701" s="1"/>
      <c r="F701" s="66"/>
      <c r="G701" s="66"/>
      <c r="H701" s="66"/>
      <c r="I701" s="66"/>
      <c r="J701" s="1"/>
      <c r="K701" s="1"/>
      <c r="L701" s="1"/>
      <c r="M701" s="1"/>
      <c r="N701" s="9"/>
      <c r="O701" s="9"/>
      <c r="P701" s="9"/>
      <c r="Q701" s="1"/>
      <c r="R701" s="1"/>
    </row>
    <row r="702" spans="1:18" x14ac:dyDescent="0.2">
      <c r="A702" s="15"/>
      <c r="B702" s="66"/>
      <c r="C702" s="1"/>
      <c r="D702" s="66"/>
      <c r="E702" s="1"/>
      <c r="F702" s="66"/>
      <c r="G702" s="66"/>
      <c r="H702" s="66"/>
      <c r="I702" s="66"/>
      <c r="J702" s="1"/>
      <c r="K702" s="1"/>
      <c r="L702" s="1"/>
      <c r="M702" s="1"/>
      <c r="N702" s="9"/>
      <c r="O702" s="9"/>
      <c r="P702" s="9"/>
      <c r="Q702" s="1"/>
      <c r="R702" s="1"/>
    </row>
    <row r="703" spans="1:18" x14ac:dyDescent="0.2">
      <c r="A703" s="15"/>
      <c r="B703" s="66"/>
      <c r="C703" s="1"/>
      <c r="D703" s="66"/>
      <c r="E703" s="1"/>
      <c r="F703" s="66"/>
      <c r="G703" s="66"/>
      <c r="H703" s="66"/>
      <c r="I703" s="66"/>
      <c r="J703" s="1"/>
      <c r="K703" s="1"/>
      <c r="L703" s="1"/>
      <c r="M703" s="1"/>
      <c r="N703" s="9"/>
      <c r="O703" s="9"/>
      <c r="P703" s="9"/>
      <c r="Q703" s="1"/>
      <c r="R703" s="1"/>
    </row>
    <row r="704" spans="1:18" x14ac:dyDescent="0.2">
      <c r="A704" s="15"/>
      <c r="B704" s="66"/>
      <c r="C704" s="1"/>
      <c r="D704" s="66"/>
      <c r="E704" s="1"/>
      <c r="F704" s="66"/>
      <c r="G704" s="66"/>
      <c r="H704" s="66"/>
      <c r="I704" s="66"/>
      <c r="J704" s="1"/>
      <c r="K704" s="1"/>
      <c r="L704" s="1"/>
      <c r="M704" s="1"/>
      <c r="N704" s="9"/>
      <c r="O704" s="9"/>
      <c r="P704" s="9"/>
      <c r="Q704" s="1"/>
      <c r="R704" s="1"/>
    </row>
    <row r="705" spans="1:18" x14ac:dyDescent="0.2">
      <c r="A705" s="15"/>
      <c r="B705" s="66"/>
      <c r="C705" s="1"/>
      <c r="D705" s="66"/>
      <c r="E705" s="1"/>
      <c r="F705" s="66"/>
      <c r="G705" s="66"/>
      <c r="H705" s="66"/>
      <c r="I705" s="66"/>
      <c r="J705" s="1"/>
      <c r="K705" s="1"/>
      <c r="L705" s="1"/>
      <c r="M705" s="1"/>
      <c r="N705" s="9"/>
      <c r="O705" s="9"/>
      <c r="P705" s="9"/>
      <c r="Q705" s="1"/>
      <c r="R705" s="1"/>
    </row>
    <row r="706" spans="1:18" x14ac:dyDescent="0.2">
      <c r="A706" s="15"/>
      <c r="B706" s="66"/>
      <c r="C706" s="1"/>
      <c r="D706" s="66"/>
      <c r="E706" s="1"/>
      <c r="F706" s="66"/>
      <c r="G706" s="66"/>
      <c r="H706" s="66"/>
      <c r="I706" s="66"/>
      <c r="J706" s="1"/>
      <c r="K706" s="1"/>
      <c r="L706" s="1"/>
      <c r="M706" s="1"/>
      <c r="N706" s="9"/>
      <c r="O706" s="9"/>
      <c r="P706" s="9"/>
      <c r="Q706" s="1"/>
      <c r="R706" s="1"/>
    </row>
    <row r="707" spans="1:18" x14ac:dyDescent="0.2">
      <c r="A707" s="15"/>
      <c r="B707" s="66"/>
      <c r="C707" s="1"/>
      <c r="D707" s="66"/>
      <c r="E707" s="1"/>
      <c r="F707" s="66"/>
      <c r="G707" s="66"/>
      <c r="H707" s="66"/>
      <c r="I707" s="66"/>
      <c r="J707" s="1"/>
      <c r="K707" s="1"/>
      <c r="L707" s="1"/>
      <c r="M707" s="1"/>
      <c r="N707" s="9"/>
      <c r="O707" s="9"/>
      <c r="P707" s="9"/>
      <c r="Q707" s="1"/>
      <c r="R707" s="1"/>
    </row>
    <row r="708" spans="1:18" x14ac:dyDescent="0.2">
      <c r="A708" s="15"/>
      <c r="B708" s="66"/>
      <c r="C708" s="1"/>
      <c r="D708" s="66"/>
      <c r="E708" s="1"/>
      <c r="F708" s="66"/>
      <c r="G708" s="66"/>
      <c r="H708" s="66"/>
      <c r="I708" s="66"/>
      <c r="J708" s="1"/>
      <c r="K708" s="1"/>
      <c r="L708" s="1"/>
      <c r="M708" s="1"/>
      <c r="N708" s="9"/>
      <c r="O708" s="9"/>
      <c r="P708" s="9"/>
      <c r="Q708" s="1"/>
      <c r="R708" s="1"/>
    </row>
    <row r="709" spans="1:18" x14ac:dyDescent="0.2">
      <c r="A709" s="15"/>
      <c r="B709" s="66"/>
      <c r="C709" s="1"/>
      <c r="D709" s="66"/>
      <c r="E709" s="1"/>
      <c r="F709" s="66"/>
      <c r="G709" s="66"/>
      <c r="H709" s="66"/>
      <c r="I709" s="66"/>
      <c r="J709" s="1"/>
      <c r="K709" s="1"/>
      <c r="L709" s="1"/>
      <c r="M709" s="1"/>
      <c r="N709" s="9"/>
      <c r="O709" s="9"/>
      <c r="P709" s="9"/>
      <c r="Q709" s="1"/>
      <c r="R709" s="1"/>
    </row>
    <row r="710" spans="1:18" x14ac:dyDescent="0.2">
      <c r="A710" s="15"/>
      <c r="B710" s="66"/>
      <c r="C710" s="1"/>
      <c r="D710" s="66"/>
      <c r="E710" s="1"/>
      <c r="F710" s="66"/>
      <c r="G710" s="66"/>
      <c r="H710" s="66"/>
      <c r="I710" s="66"/>
      <c r="J710" s="1"/>
      <c r="K710" s="1"/>
      <c r="L710" s="1"/>
      <c r="M710" s="1"/>
      <c r="N710" s="9"/>
      <c r="O710" s="9"/>
      <c r="P710" s="9"/>
      <c r="Q710" s="1"/>
      <c r="R710" s="1"/>
    </row>
    <row r="711" spans="1:18" x14ac:dyDescent="0.2">
      <c r="A711" s="15"/>
      <c r="B711" s="66"/>
      <c r="C711" s="1"/>
      <c r="D711" s="66"/>
      <c r="E711" s="1"/>
      <c r="F711" s="66"/>
      <c r="G711" s="66"/>
      <c r="H711" s="66"/>
      <c r="I711" s="66"/>
      <c r="J711" s="1"/>
      <c r="K711" s="1"/>
      <c r="L711" s="1"/>
      <c r="M711" s="1"/>
      <c r="N711" s="9"/>
      <c r="O711" s="9"/>
      <c r="P711" s="9"/>
      <c r="Q711" s="1"/>
      <c r="R711" s="1"/>
    </row>
    <row r="712" spans="1:18" x14ac:dyDescent="0.2">
      <c r="A712" s="15"/>
      <c r="B712" s="66"/>
      <c r="C712" s="1"/>
      <c r="D712" s="66"/>
      <c r="E712" s="1"/>
      <c r="F712" s="66"/>
      <c r="G712" s="66"/>
      <c r="H712" s="66"/>
      <c r="I712" s="66"/>
      <c r="J712" s="1"/>
      <c r="K712" s="1"/>
      <c r="L712" s="1"/>
      <c r="M712" s="1"/>
      <c r="N712" s="9"/>
      <c r="O712" s="9"/>
      <c r="P712" s="9"/>
      <c r="Q712" s="1"/>
      <c r="R712" s="1"/>
    </row>
    <row r="713" spans="1:18" x14ac:dyDescent="0.2">
      <c r="A713" s="15"/>
      <c r="B713" s="66"/>
      <c r="C713" s="1"/>
      <c r="D713" s="66"/>
      <c r="E713" s="1"/>
      <c r="F713" s="66"/>
      <c r="G713" s="66"/>
      <c r="H713" s="66"/>
      <c r="I713" s="66"/>
      <c r="J713" s="1"/>
      <c r="K713" s="1"/>
      <c r="L713" s="1"/>
      <c r="M713" s="1"/>
      <c r="N713" s="9"/>
      <c r="O713" s="9"/>
      <c r="P713" s="9"/>
      <c r="Q713" s="1"/>
      <c r="R713" s="1"/>
    </row>
    <row r="714" spans="1:18" x14ac:dyDescent="0.2">
      <c r="A714" s="15"/>
      <c r="B714" s="66"/>
      <c r="C714" s="1"/>
      <c r="D714" s="66"/>
      <c r="E714" s="1"/>
      <c r="F714" s="66"/>
      <c r="G714" s="66"/>
      <c r="H714" s="66"/>
      <c r="I714" s="66"/>
      <c r="J714" s="1"/>
      <c r="K714" s="1"/>
      <c r="L714" s="1"/>
      <c r="M714" s="1"/>
      <c r="N714" s="9"/>
      <c r="O714" s="9"/>
      <c r="P714" s="9"/>
      <c r="Q714" s="1"/>
      <c r="R714" s="1"/>
    </row>
    <row r="715" spans="1:18" x14ac:dyDescent="0.2">
      <c r="A715" s="15"/>
      <c r="B715" s="66"/>
      <c r="C715" s="1"/>
      <c r="D715" s="66"/>
      <c r="E715" s="1"/>
      <c r="F715" s="66"/>
      <c r="G715" s="66"/>
      <c r="H715" s="66"/>
      <c r="I715" s="66"/>
      <c r="J715" s="1"/>
      <c r="K715" s="1"/>
      <c r="L715" s="1"/>
      <c r="M715" s="1"/>
      <c r="N715" s="9"/>
      <c r="O715" s="9"/>
      <c r="P715" s="9"/>
      <c r="Q715" s="1"/>
      <c r="R715" s="1"/>
    </row>
    <row r="716" spans="1:18" x14ac:dyDescent="0.2">
      <c r="A716" s="15"/>
      <c r="B716" s="66"/>
      <c r="C716" s="1"/>
      <c r="D716" s="66"/>
      <c r="E716" s="1"/>
      <c r="F716" s="66"/>
      <c r="G716" s="66"/>
      <c r="H716" s="66"/>
      <c r="I716" s="66"/>
      <c r="J716" s="1"/>
      <c r="K716" s="1"/>
      <c r="L716" s="1"/>
      <c r="M716" s="1"/>
      <c r="N716" s="9"/>
      <c r="O716" s="9"/>
      <c r="P716" s="9"/>
      <c r="Q716" s="1"/>
      <c r="R716" s="1"/>
    </row>
    <row r="717" spans="1:18" x14ac:dyDescent="0.2">
      <c r="A717" s="15"/>
      <c r="B717" s="66"/>
      <c r="C717" s="1"/>
      <c r="D717" s="66"/>
      <c r="E717" s="1"/>
      <c r="F717" s="66"/>
      <c r="G717" s="66"/>
      <c r="H717" s="66"/>
      <c r="I717" s="66"/>
      <c r="J717" s="1"/>
      <c r="K717" s="1"/>
      <c r="L717" s="1"/>
      <c r="M717" s="1"/>
      <c r="N717" s="9"/>
      <c r="O717" s="9"/>
      <c r="P717" s="9"/>
      <c r="Q717" s="1"/>
      <c r="R717" s="1"/>
    </row>
    <row r="718" spans="1:18" x14ac:dyDescent="0.2">
      <c r="A718" s="15"/>
      <c r="B718" s="66"/>
      <c r="C718" s="1"/>
      <c r="D718" s="66"/>
      <c r="E718" s="1"/>
      <c r="F718" s="66"/>
      <c r="G718" s="66"/>
      <c r="H718" s="66"/>
      <c r="I718" s="66"/>
      <c r="J718" s="1"/>
      <c r="K718" s="1"/>
      <c r="L718" s="1"/>
      <c r="M718" s="1"/>
      <c r="N718" s="9"/>
      <c r="O718" s="9"/>
      <c r="P718" s="9"/>
      <c r="Q718" s="1"/>
      <c r="R718" s="1"/>
    </row>
    <row r="719" spans="1:18" x14ac:dyDescent="0.2">
      <c r="A719" s="15"/>
      <c r="B719" s="66"/>
      <c r="C719" s="1"/>
      <c r="D719" s="66"/>
      <c r="E719" s="1"/>
      <c r="F719" s="66"/>
      <c r="G719" s="66"/>
      <c r="H719" s="66"/>
      <c r="I719" s="66"/>
      <c r="J719" s="1"/>
      <c r="K719" s="1"/>
      <c r="L719" s="1"/>
      <c r="M719" s="1"/>
      <c r="N719" s="9"/>
      <c r="O719" s="9"/>
      <c r="P719" s="9"/>
      <c r="Q719" s="1"/>
      <c r="R719" s="1"/>
    </row>
    <row r="720" spans="1:18" x14ac:dyDescent="0.2">
      <c r="A720" s="15"/>
      <c r="B720" s="66"/>
      <c r="C720" s="1"/>
      <c r="D720" s="66"/>
      <c r="E720" s="1"/>
      <c r="F720" s="66"/>
      <c r="G720" s="66"/>
      <c r="H720" s="66"/>
      <c r="I720" s="66"/>
      <c r="J720" s="1"/>
      <c r="K720" s="1"/>
      <c r="L720" s="1"/>
      <c r="M720" s="1"/>
      <c r="N720" s="9"/>
      <c r="O720" s="9"/>
      <c r="P720" s="9"/>
      <c r="Q720" s="1"/>
      <c r="R720" s="1"/>
    </row>
    <row r="721" spans="1:18" x14ac:dyDescent="0.2">
      <c r="A721" s="15"/>
      <c r="B721" s="66"/>
      <c r="C721" s="1"/>
      <c r="D721" s="66"/>
      <c r="E721" s="1"/>
      <c r="F721" s="66"/>
      <c r="G721" s="66"/>
      <c r="H721" s="66"/>
      <c r="I721" s="66"/>
      <c r="J721" s="1"/>
      <c r="K721" s="1"/>
      <c r="L721" s="1"/>
      <c r="M721" s="1"/>
      <c r="N721" s="9"/>
      <c r="O721" s="9"/>
      <c r="P721" s="9"/>
      <c r="Q721" s="1"/>
      <c r="R721" s="1"/>
    </row>
    <row r="722" spans="1:18" x14ac:dyDescent="0.2">
      <c r="A722" s="15"/>
      <c r="B722" s="66"/>
      <c r="C722" s="1"/>
      <c r="D722" s="66"/>
      <c r="E722" s="1"/>
      <c r="F722" s="66"/>
      <c r="G722" s="66"/>
      <c r="H722" s="66"/>
      <c r="I722" s="66"/>
      <c r="J722" s="1"/>
      <c r="K722" s="1"/>
      <c r="L722" s="1"/>
      <c r="M722" s="1"/>
      <c r="N722" s="9"/>
      <c r="O722" s="9"/>
      <c r="P722" s="9"/>
      <c r="Q722" s="1"/>
      <c r="R722" s="1"/>
    </row>
    <row r="723" spans="1:18" x14ac:dyDescent="0.2">
      <c r="A723" s="15"/>
      <c r="B723" s="66"/>
      <c r="C723" s="1"/>
      <c r="D723" s="66"/>
      <c r="E723" s="1"/>
      <c r="F723" s="66"/>
      <c r="G723" s="66"/>
      <c r="H723" s="66"/>
      <c r="I723" s="66"/>
      <c r="J723" s="1"/>
      <c r="K723" s="1"/>
      <c r="L723" s="1"/>
      <c r="M723" s="1"/>
      <c r="N723" s="9"/>
      <c r="O723" s="9"/>
      <c r="P723" s="9"/>
      <c r="Q723" s="1"/>
      <c r="R723" s="1"/>
    </row>
    <row r="724" spans="1:18" x14ac:dyDescent="0.2">
      <c r="A724" s="15"/>
      <c r="B724" s="66"/>
      <c r="C724" s="1"/>
      <c r="D724" s="66"/>
      <c r="E724" s="1"/>
      <c r="F724" s="66"/>
      <c r="G724" s="66"/>
      <c r="H724" s="66"/>
      <c r="I724" s="66"/>
      <c r="J724" s="1"/>
      <c r="K724" s="1"/>
      <c r="L724" s="1"/>
      <c r="M724" s="1"/>
      <c r="N724" s="9"/>
      <c r="O724" s="9"/>
      <c r="P724" s="9"/>
      <c r="Q724" s="1"/>
      <c r="R724" s="1"/>
    </row>
    <row r="725" spans="1:18" x14ac:dyDescent="0.2">
      <c r="A725" s="15"/>
      <c r="B725" s="66"/>
      <c r="C725" s="1"/>
      <c r="D725" s="66"/>
      <c r="E725" s="1"/>
      <c r="F725" s="66"/>
      <c r="G725" s="66"/>
      <c r="H725" s="66"/>
      <c r="I725" s="66"/>
      <c r="J725" s="1"/>
      <c r="K725" s="1"/>
      <c r="L725" s="1"/>
      <c r="M725" s="1"/>
      <c r="N725" s="9"/>
      <c r="O725" s="9"/>
      <c r="P725" s="9"/>
      <c r="Q725" s="1"/>
      <c r="R725" s="1"/>
    </row>
    <row r="726" spans="1:18" x14ac:dyDescent="0.2">
      <c r="A726" s="15"/>
      <c r="B726" s="66"/>
      <c r="C726" s="1"/>
      <c r="D726" s="66"/>
      <c r="E726" s="1"/>
      <c r="F726" s="66"/>
      <c r="G726" s="66"/>
      <c r="H726" s="66"/>
      <c r="I726" s="66"/>
      <c r="J726" s="1"/>
      <c r="K726" s="1"/>
      <c r="L726" s="1"/>
      <c r="M726" s="1"/>
      <c r="N726" s="9"/>
      <c r="O726" s="9"/>
      <c r="P726" s="9"/>
      <c r="Q726" s="1"/>
      <c r="R726" s="1"/>
    </row>
    <row r="727" spans="1:18" x14ac:dyDescent="0.2">
      <c r="A727" s="15"/>
      <c r="B727" s="66"/>
      <c r="C727" s="1"/>
      <c r="D727" s="66"/>
      <c r="E727" s="1"/>
      <c r="F727" s="66"/>
      <c r="G727" s="66"/>
      <c r="H727" s="66"/>
      <c r="I727" s="66"/>
      <c r="J727" s="1"/>
      <c r="K727" s="1"/>
      <c r="L727" s="1"/>
      <c r="M727" s="1"/>
      <c r="N727" s="9"/>
      <c r="O727" s="9"/>
      <c r="P727" s="9"/>
      <c r="Q727" s="1"/>
      <c r="R727" s="1"/>
    </row>
    <row r="728" spans="1:18" x14ac:dyDescent="0.2">
      <c r="A728" s="15"/>
      <c r="B728" s="66"/>
      <c r="C728" s="1"/>
      <c r="D728" s="66"/>
      <c r="E728" s="1"/>
      <c r="F728" s="66"/>
      <c r="G728" s="66"/>
      <c r="H728" s="66"/>
      <c r="I728" s="66"/>
      <c r="J728" s="1"/>
      <c r="K728" s="1"/>
      <c r="L728" s="1"/>
      <c r="M728" s="1"/>
      <c r="N728" s="9"/>
      <c r="O728" s="9"/>
      <c r="P728" s="9"/>
      <c r="Q728" s="1"/>
      <c r="R728" s="1"/>
    </row>
    <row r="729" spans="1:18" x14ac:dyDescent="0.2">
      <c r="A729" s="15"/>
      <c r="B729" s="66"/>
      <c r="C729" s="1"/>
      <c r="D729" s="66"/>
      <c r="E729" s="1"/>
      <c r="F729" s="66"/>
      <c r="G729" s="66"/>
      <c r="H729" s="66"/>
      <c r="I729" s="66"/>
      <c r="J729" s="1"/>
      <c r="K729" s="1"/>
      <c r="L729" s="1"/>
      <c r="M729" s="1"/>
      <c r="N729" s="9"/>
      <c r="O729" s="9"/>
      <c r="P729" s="9"/>
      <c r="Q729" s="1"/>
      <c r="R729" s="1"/>
    </row>
    <row r="730" spans="1:18" x14ac:dyDescent="0.2">
      <c r="A730" s="15"/>
      <c r="B730" s="66"/>
      <c r="C730" s="1"/>
      <c r="D730" s="66"/>
      <c r="E730" s="1"/>
      <c r="F730" s="66"/>
      <c r="G730" s="66"/>
      <c r="H730" s="66"/>
      <c r="I730" s="66"/>
      <c r="J730" s="1"/>
      <c r="K730" s="1"/>
      <c r="L730" s="1"/>
      <c r="M730" s="1"/>
      <c r="N730" s="9"/>
      <c r="O730" s="9"/>
      <c r="P730" s="9"/>
      <c r="Q730" s="1"/>
      <c r="R730" s="1"/>
    </row>
    <row r="731" spans="1:18" x14ac:dyDescent="0.2">
      <c r="A731" s="15"/>
      <c r="B731" s="66"/>
      <c r="C731" s="1"/>
      <c r="D731" s="66"/>
      <c r="E731" s="1"/>
      <c r="F731" s="66"/>
      <c r="G731" s="66"/>
      <c r="H731" s="66"/>
      <c r="I731" s="66"/>
      <c r="J731" s="1"/>
      <c r="K731" s="1"/>
      <c r="L731" s="1"/>
      <c r="M731" s="1"/>
      <c r="N731" s="9"/>
      <c r="O731" s="9"/>
      <c r="P731" s="9"/>
      <c r="Q731" s="1"/>
      <c r="R731" s="1"/>
    </row>
    <row r="732" spans="1:18" x14ac:dyDescent="0.2">
      <c r="A732" s="15"/>
      <c r="B732" s="66"/>
      <c r="C732" s="1"/>
      <c r="D732" s="66"/>
      <c r="E732" s="1"/>
      <c r="F732" s="66"/>
      <c r="G732" s="66"/>
      <c r="H732" s="66"/>
      <c r="I732" s="66"/>
      <c r="J732" s="1"/>
      <c r="K732" s="1"/>
      <c r="L732" s="1"/>
      <c r="M732" s="1"/>
      <c r="N732" s="9"/>
      <c r="O732" s="9"/>
      <c r="P732" s="9"/>
      <c r="Q732" s="1"/>
      <c r="R732" s="1"/>
    </row>
    <row r="733" spans="1:18" x14ac:dyDescent="0.2">
      <c r="A733" s="15"/>
      <c r="B733" s="66"/>
      <c r="C733" s="1"/>
      <c r="D733" s="66"/>
      <c r="E733" s="1"/>
      <c r="F733" s="66"/>
      <c r="G733" s="66"/>
      <c r="H733" s="66"/>
      <c r="I733" s="66"/>
      <c r="J733" s="1"/>
      <c r="K733" s="1"/>
      <c r="L733" s="1"/>
      <c r="M733" s="1"/>
      <c r="N733" s="9"/>
      <c r="O733" s="9"/>
      <c r="P733" s="9"/>
      <c r="Q733" s="1"/>
      <c r="R733" s="1"/>
    </row>
    <row r="734" spans="1:18" x14ac:dyDescent="0.2">
      <c r="A734" s="15"/>
      <c r="B734" s="66"/>
      <c r="C734" s="1"/>
      <c r="D734" s="66"/>
      <c r="E734" s="1"/>
      <c r="F734" s="66"/>
      <c r="G734" s="66"/>
      <c r="H734" s="66"/>
      <c r="I734" s="66"/>
      <c r="J734" s="1"/>
      <c r="K734" s="1"/>
      <c r="L734" s="1"/>
      <c r="M734" s="1"/>
      <c r="N734" s="9"/>
      <c r="O734" s="9"/>
      <c r="P734" s="9"/>
      <c r="Q734" s="1"/>
      <c r="R734" s="1"/>
    </row>
    <row r="735" spans="1:18" x14ac:dyDescent="0.2">
      <c r="A735" s="15"/>
      <c r="B735" s="66"/>
      <c r="C735" s="1"/>
      <c r="D735" s="66"/>
      <c r="E735" s="1"/>
      <c r="F735" s="66"/>
      <c r="G735" s="66"/>
      <c r="H735" s="66"/>
      <c r="I735" s="66"/>
      <c r="J735" s="1"/>
      <c r="K735" s="1"/>
      <c r="L735" s="1"/>
      <c r="M735" s="1"/>
      <c r="N735" s="9"/>
      <c r="O735" s="9"/>
      <c r="P735" s="9"/>
      <c r="Q735" s="1"/>
      <c r="R735" s="1"/>
    </row>
    <row r="736" spans="1:18" x14ac:dyDescent="0.2">
      <c r="A736" s="15"/>
      <c r="B736" s="66"/>
      <c r="C736" s="1"/>
      <c r="D736" s="66"/>
      <c r="E736" s="1"/>
      <c r="F736" s="66"/>
      <c r="G736" s="66"/>
      <c r="H736" s="66"/>
      <c r="I736" s="66"/>
      <c r="J736" s="1"/>
      <c r="K736" s="1"/>
      <c r="L736" s="1"/>
      <c r="M736" s="1"/>
      <c r="N736" s="9"/>
      <c r="O736" s="9"/>
      <c r="P736" s="9"/>
      <c r="Q736" s="1"/>
      <c r="R736" s="1"/>
    </row>
    <row r="737" spans="1:18" x14ac:dyDescent="0.2">
      <c r="A737" s="15"/>
      <c r="B737" s="66"/>
      <c r="C737" s="1"/>
      <c r="D737" s="66"/>
      <c r="E737" s="1"/>
      <c r="F737" s="66"/>
      <c r="G737" s="66"/>
      <c r="H737" s="66"/>
      <c r="I737" s="66"/>
      <c r="J737" s="1"/>
      <c r="K737" s="1"/>
      <c r="L737" s="1"/>
      <c r="M737" s="1"/>
      <c r="N737" s="9"/>
      <c r="O737" s="9"/>
      <c r="P737" s="9"/>
      <c r="Q737" s="1"/>
      <c r="R737" s="1"/>
    </row>
    <row r="738" spans="1:18" x14ac:dyDescent="0.2">
      <c r="A738" s="15"/>
      <c r="B738" s="66"/>
      <c r="C738" s="1"/>
      <c r="D738" s="66"/>
      <c r="E738" s="1"/>
      <c r="F738" s="66"/>
      <c r="G738" s="66"/>
      <c r="H738" s="66"/>
      <c r="I738" s="66"/>
      <c r="J738" s="1"/>
      <c r="K738" s="1"/>
      <c r="L738" s="1"/>
      <c r="M738" s="1"/>
      <c r="N738" s="9"/>
      <c r="O738" s="9"/>
      <c r="P738" s="9"/>
      <c r="Q738" s="1"/>
      <c r="R738" s="1"/>
    </row>
    <row r="739" spans="1:18" x14ac:dyDescent="0.2">
      <c r="A739" s="15"/>
      <c r="B739" s="66"/>
      <c r="C739" s="1"/>
      <c r="D739" s="66"/>
      <c r="E739" s="1"/>
      <c r="F739" s="66"/>
      <c r="G739" s="66"/>
      <c r="H739" s="66"/>
      <c r="I739" s="66"/>
      <c r="J739" s="1"/>
      <c r="K739" s="1"/>
      <c r="L739" s="1"/>
      <c r="M739" s="1"/>
      <c r="N739" s="9"/>
      <c r="O739" s="9"/>
      <c r="P739" s="9"/>
      <c r="Q739" s="1"/>
      <c r="R739" s="1"/>
    </row>
    <row r="740" spans="1:18" x14ac:dyDescent="0.2">
      <c r="A740" s="15"/>
      <c r="B740" s="66"/>
      <c r="C740" s="1"/>
      <c r="D740" s="66"/>
      <c r="E740" s="1"/>
      <c r="F740" s="66"/>
      <c r="G740" s="66"/>
      <c r="H740" s="66"/>
      <c r="I740" s="66"/>
      <c r="J740" s="1"/>
      <c r="K740" s="1"/>
      <c r="L740" s="1"/>
      <c r="M740" s="1"/>
      <c r="N740" s="9"/>
      <c r="O740" s="9"/>
      <c r="P740" s="9"/>
      <c r="Q740" s="1"/>
      <c r="R740" s="1"/>
    </row>
    <row r="741" spans="1:18" x14ac:dyDescent="0.2">
      <c r="A741" s="15"/>
      <c r="B741" s="66"/>
      <c r="C741" s="1"/>
      <c r="D741" s="66"/>
      <c r="E741" s="1"/>
      <c r="F741" s="66"/>
      <c r="G741" s="66"/>
      <c r="H741" s="66"/>
      <c r="I741" s="66"/>
      <c r="J741" s="1"/>
      <c r="K741" s="1"/>
      <c r="L741" s="1"/>
      <c r="M741" s="1"/>
      <c r="N741" s="9"/>
      <c r="O741" s="9"/>
      <c r="P741" s="9"/>
      <c r="Q741" s="1"/>
      <c r="R741" s="1"/>
    </row>
    <row r="742" spans="1:18" x14ac:dyDescent="0.2">
      <c r="A742" s="15"/>
      <c r="B742" s="66"/>
      <c r="C742" s="1"/>
      <c r="D742" s="66"/>
      <c r="E742" s="1"/>
      <c r="F742" s="66"/>
      <c r="G742" s="66"/>
      <c r="H742" s="66"/>
      <c r="I742" s="66"/>
      <c r="J742" s="1"/>
      <c r="K742" s="1"/>
      <c r="L742" s="1"/>
      <c r="M742" s="1"/>
      <c r="N742" s="9"/>
      <c r="O742" s="9"/>
      <c r="P742" s="9"/>
      <c r="Q742" s="1"/>
      <c r="R742" s="1"/>
    </row>
    <row r="743" spans="1:18" x14ac:dyDescent="0.2">
      <c r="A743" s="15"/>
      <c r="B743" s="66"/>
      <c r="C743" s="1"/>
      <c r="D743" s="66"/>
      <c r="E743" s="1"/>
      <c r="F743" s="66"/>
      <c r="G743" s="66"/>
      <c r="H743" s="66"/>
      <c r="I743" s="66"/>
      <c r="J743" s="1"/>
      <c r="K743" s="1"/>
      <c r="L743" s="1"/>
      <c r="M743" s="1"/>
      <c r="N743" s="9"/>
      <c r="O743" s="9"/>
      <c r="P743" s="9"/>
      <c r="Q743" s="1"/>
      <c r="R743" s="1"/>
    </row>
    <row r="744" spans="1:18" x14ac:dyDescent="0.2">
      <c r="A744" s="15"/>
      <c r="B744" s="66"/>
      <c r="C744" s="1"/>
      <c r="D744" s="66"/>
      <c r="E744" s="1"/>
      <c r="F744" s="66"/>
      <c r="G744" s="66"/>
      <c r="H744" s="66"/>
      <c r="I744" s="66"/>
      <c r="J744" s="1"/>
      <c r="K744" s="1"/>
      <c r="L744" s="1"/>
      <c r="M744" s="1"/>
      <c r="N744" s="9"/>
      <c r="O744" s="9"/>
      <c r="P744" s="9"/>
      <c r="Q744" s="1"/>
      <c r="R744" s="1"/>
    </row>
    <row r="745" spans="1:18" x14ac:dyDescent="0.2">
      <c r="A745" s="15"/>
      <c r="B745" s="66"/>
      <c r="C745" s="1"/>
      <c r="D745" s="66"/>
      <c r="E745" s="1"/>
      <c r="F745" s="66"/>
      <c r="G745" s="66"/>
      <c r="H745" s="66"/>
      <c r="I745" s="66"/>
      <c r="J745" s="1"/>
      <c r="K745" s="1"/>
      <c r="L745" s="1"/>
      <c r="M745" s="1"/>
      <c r="N745" s="9"/>
      <c r="O745" s="9"/>
      <c r="P745" s="9"/>
      <c r="Q745" s="1"/>
      <c r="R745" s="1"/>
    </row>
    <row r="746" spans="1:18" x14ac:dyDescent="0.2">
      <c r="A746" s="15"/>
      <c r="B746" s="66"/>
      <c r="C746" s="1"/>
      <c r="D746" s="66"/>
      <c r="E746" s="1"/>
      <c r="F746" s="66"/>
      <c r="G746" s="66"/>
      <c r="H746" s="66"/>
      <c r="I746" s="66"/>
      <c r="J746" s="1"/>
      <c r="K746" s="1"/>
      <c r="L746" s="1"/>
      <c r="M746" s="1"/>
      <c r="N746" s="9"/>
      <c r="O746" s="9"/>
      <c r="P746" s="9"/>
      <c r="Q746" s="1"/>
      <c r="R746" s="1"/>
    </row>
    <row r="747" spans="1:18" x14ac:dyDescent="0.2">
      <c r="A747" s="15"/>
      <c r="B747" s="66"/>
      <c r="C747" s="1"/>
      <c r="D747" s="66"/>
      <c r="E747" s="1"/>
      <c r="F747" s="66"/>
      <c r="G747" s="66"/>
      <c r="H747" s="66"/>
      <c r="I747" s="66"/>
      <c r="J747" s="1"/>
      <c r="K747" s="1"/>
      <c r="L747" s="1"/>
      <c r="M747" s="1"/>
      <c r="N747" s="9"/>
      <c r="O747" s="9"/>
      <c r="P747" s="9"/>
      <c r="Q747" s="1"/>
      <c r="R747" s="1"/>
    </row>
    <row r="748" spans="1:18" x14ac:dyDescent="0.2">
      <c r="A748" s="15"/>
      <c r="B748" s="66"/>
      <c r="C748" s="1"/>
      <c r="D748" s="66"/>
      <c r="E748" s="1"/>
      <c r="F748" s="66"/>
      <c r="G748" s="66"/>
      <c r="H748" s="66"/>
      <c r="I748" s="66"/>
      <c r="J748" s="1"/>
      <c r="K748" s="1"/>
      <c r="L748" s="1"/>
      <c r="M748" s="1"/>
      <c r="N748" s="9"/>
      <c r="O748" s="9"/>
      <c r="P748" s="9"/>
      <c r="Q748" s="1"/>
      <c r="R748" s="1"/>
    </row>
    <row r="749" spans="1:18" x14ac:dyDescent="0.2">
      <c r="A749" s="15"/>
      <c r="B749" s="66"/>
      <c r="C749" s="1"/>
      <c r="D749" s="66"/>
      <c r="E749" s="1"/>
      <c r="F749" s="66"/>
      <c r="G749" s="66"/>
      <c r="H749" s="66"/>
      <c r="I749" s="66"/>
      <c r="J749" s="1"/>
      <c r="K749" s="1"/>
      <c r="L749" s="1"/>
      <c r="M749" s="1"/>
      <c r="N749" s="9"/>
      <c r="O749" s="9"/>
      <c r="P749" s="9"/>
      <c r="Q749" s="1"/>
      <c r="R749" s="1"/>
    </row>
    <row r="750" spans="1:18" x14ac:dyDescent="0.2">
      <c r="A750" s="15"/>
      <c r="B750" s="66"/>
      <c r="C750" s="1"/>
      <c r="D750" s="66"/>
      <c r="E750" s="1"/>
      <c r="F750" s="66"/>
      <c r="G750" s="66"/>
      <c r="H750" s="66"/>
      <c r="I750" s="66"/>
      <c r="J750" s="1"/>
      <c r="K750" s="1"/>
      <c r="L750" s="1"/>
      <c r="M750" s="1"/>
      <c r="N750" s="9"/>
      <c r="O750" s="9"/>
      <c r="P750" s="9"/>
      <c r="Q750" s="1"/>
      <c r="R750" s="1"/>
    </row>
    <row r="751" spans="1:18" x14ac:dyDescent="0.2">
      <c r="A751" s="15"/>
      <c r="B751" s="66"/>
      <c r="C751" s="1"/>
      <c r="D751" s="66"/>
      <c r="E751" s="1"/>
      <c r="F751" s="66"/>
      <c r="G751" s="66"/>
      <c r="H751" s="66"/>
      <c r="I751" s="66"/>
      <c r="J751" s="1"/>
      <c r="K751" s="1"/>
      <c r="L751" s="1"/>
      <c r="M751" s="1"/>
      <c r="N751" s="9"/>
      <c r="O751" s="9"/>
      <c r="P751" s="9"/>
      <c r="Q751" s="1"/>
      <c r="R751" s="1"/>
    </row>
    <row r="752" spans="1:18" x14ac:dyDescent="0.2">
      <c r="A752" s="15"/>
      <c r="B752" s="66"/>
      <c r="C752" s="1"/>
      <c r="D752" s="66"/>
      <c r="E752" s="1"/>
      <c r="F752" s="66"/>
      <c r="G752" s="66"/>
      <c r="H752" s="66"/>
      <c r="I752" s="66"/>
      <c r="J752" s="1"/>
      <c r="K752" s="1"/>
      <c r="L752" s="1"/>
      <c r="M752" s="1"/>
      <c r="N752" s="9"/>
      <c r="O752" s="9"/>
      <c r="P752" s="9"/>
      <c r="Q752" s="1"/>
      <c r="R752" s="1"/>
    </row>
    <row r="753" spans="1:18" x14ac:dyDescent="0.2">
      <c r="A753" s="15"/>
      <c r="B753" s="66"/>
      <c r="C753" s="1"/>
      <c r="D753" s="66"/>
      <c r="E753" s="1"/>
      <c r="F753" s="66"/>
      <c r="G753" s="66"/>
      <c r="H753" s="66"/>
      <c r="I753" s="66"/>
      <c r="J753" s="1"/>
      <c r="K753" s="1"/>
      <c r="L753" s="1"/>
      <c r="M753" s="1"/>
      <c r="N753" s="9"/>
      <c r="O753" s="9"/>
      <c r="P753" s="9"/>
      <c r="Q753" s="1"/>
      <c r="R753" s="1"/>
    </row>
    <row r="754" spans="1:18" x14ac:dyDescent="0.2">
      <c r="A754" s="15"/>
      <c r="B754" s="66"/>
      <c r="C754" s="1"/>
      <c r="D754" s="66"/>
      <c r="E754" s="1"/>
      <c r="F754" s="66"/>
      <c r="G754" s="66"/>
      <c r="H754" s="66"/>
      <c r="I754" s="66"/>
      <c r="J754" s="1"/>
      <c r="K754" s="1"/>
      <c r="L754" s="1"/>
      <c r="M754" s="1"/>
      <c r="N754" s="9"/>
      <c r="O754" s="9"/>
      <c r="P754" s="9"/>
      <c r="Q754" s="1"/>
      <c r="R754" s="1"/>
    </row>
    <row r="755" spans="1:18" x14ac:dyDescent="0.2">
      <c r="A755" s="15"/>
      <c r="B755" s="66"/>
      <c r="C755" s="1"/>
      <c r="D755" s="66"/>
      <c r="E755" s="1"/>
      <c r="F755" s="66"/>
      <c r="G755" s="66"/>
      <c r="H755" s="66"/>
      <c r="I755" s="66"/>
      <c r="J755" s="1"/>
      <c r="K755" s="1"/>
      <c r="L755" s="1"/>
      <c r="M755" s="1"/>
      <c r="N755" s="9"/>
      <c r="O755" s="9"/>
      <c r="P755" s="9"/>
      <c r="Q755" s="1"/>
      <c r="R755" s="1"/>
    </row>
    <row r="756" spans="1:18" x14ac:dyDescent="0.2">
      <c r="A756" s="15"/>
      <c r="B756" s="66"/>
      <c r="C756" s="1"/>
      <c r="D756" s="66"/>
      <c r="E756" s="1"/>
      <c r="F756" s="66"/>
      <c r="G756" s="66"/>
      <c r="H756" s="66"/>
      <c r="I756" s="66"/>
      <c r="J756" s="1"/>
      <c r="K756" s="1"/>
      <c r="L756" s="1"/>
      <c r="M756" s="1"/>
      <c r="N756" s="9"/>
      <c r="O756" s="9"/>
      <c r="P756" s="9"/>
      <c r="Q756" s="1"/>
      <c r="R756" s="1"/>
    </row>
    <row r="757" spans="1:18" x14ac:dyDescent="0.2">
      <c r="A757" s="15"/>
      <c r="B757" s="66"/>
      <c r="C757" s="1"/>
      <c r="D757" s="66"/>
      <c r="E757" s="1"/>
      <c r="F757" s="66"/>
      <c r="G757" s="66"/>
      <c r="H757" s="66"/>
      <c r="I757" s="66"/>
      <c r="J757" s="1"/>
      <c r="K757" s="1"/>
      <c r="L757" s="1"/>
      <c r="M757" s="1"/>
      <c r="N757" s="9"/>
      <c r="O757" s="9"/>
      <c r="P757" s="9"/>
      <c r="Q757" s="1"/>
      <c r="R757" s="1"/>
    </row>
    <row r="758" spans="1:18" x14ac:dyDescent="0.2">
      <c r="A758" s="15"/>
      <c r="B758" s="66"/>
      <c r="C758" s="1"/>
      <c r="D758" s="66"/>
      <c r="E758" s="1"/>
      <c r="F758" s="66"/>
      <c r="G758" s="66"/>
      <c r="H758" s="66"/>
      <c r="I758" s="66"/>
      <c r="J758" s="1"/>
      <c r="K758" s="1"/>
      <c r="L758" s="1"/>
      <c r="M758" s="1"/>
      <c r="N758" s="9"/>
      <c r="O758" s="9"/>
      <c r="P758" s="9"/>
      <c r="Q758" s="1"/>
      <c r="R758" s="1"/>
    </row>
    <row r="759" spans="1:18" x14ac:dyDescent="0.2">
      <c r="A759" s="15"/>
      <c r="B759" s="66"/>
      <c r="C759" s="1"/>
      <c r="D759" s="66"/>
      <c r="E759" s="1"/>
      <c r="F759" s="66"/>
      <c r="G759" s="66"/>
      <c r="H759" s="66"/>
      <c r="I759" s="66"/>
      <c r="J759" s="1"/>
      <c r="K759" s="1"/>
      <c r="L759" s="1"/>
      <c r="M759" s="1"/>
      <c r="N759" s="9"/>
      <c r="O759" s="9"/>
      <c r="P759" s="9"/>
      <c r="Q759" s="1"/>
      <c r="R759" s="1"/>
    </row>
    <row r="760" spans="1:18" x14ac:dyDescent="0.2">
      <c r="A760" s="15"/>
      <c r="B760" s="66"/>
      <c r="C760" s="1"/>
      <c r="D760" s="66"/>
      <c r="E760" s="1"/>
      <c r="F760" s="66"/>
      <c r="G760" s="66"/>
      <c r="H760" s="66"/>
      <c r="I760" s="66"/>
      <c r="J760" s="1"/>
      <c r="K760" s="1"/>
      <c r="L760" s="1"/>
      <c r="M760" s="1"/>
      <c r="N760" s="9"/>
      <c r="O760" s="9"/>
      <c r="P760" s="9"/>
      <c r="Q760" s="1"/>
      <c r="R760" s="1"/>
    </row>
    <row r="761" spans="1:18" x14ac:dyDescent="0.2">
      <c r="A761" s="15"/>
      <c r="B761" s="66"/>
      <c r="C761" s="1"/>
      <c r="D761" s="66"/>
      <c r="E761" s="1"/>
      <c r="F761" s="66"/>
      <c r="G761" s="66"/>
      <c r="H761" s="66"/>
      <c r="I761" s="66"/>
      <c r="J761" s="1"/>
      <c r="K761" s="1"/>
      <c r="L761" s="1"/>
      <c r="M761" s="1"/>
      <c r="N761" s="9"/>
      <c r="O761" s="9"/>
      <c r="P761" s="9"/>
      <c r="Q761" s="1"/>
      <c r="R761" s="1"/>
    </row>
    <row r="762" spans="1:18" x14ac:dyDescent="0.2">
      <c r="A762" s="15"/>
      <c r="B762" s="66"/>
      <c r="C762" s="1"/>
      <c r="D762" s="66"/>
      <c r="E762" s="1"/>
      <c r="F762" s="66"/>
      <c r="G762" s="66"/>
      <c r="H762" s="66"/>
      <c r="I762" s="66"/>
      <c r="J762" s="1"/>
      <c r="K762" s="1"/>
      <c r="L762" s="1"/>
      <c r="M762" s="1"/>
      <c r="N762" s="9"/>
      <c r="O762" s="9"/>
      <c r="P762" s="9"/>
      <c r="Q762" s="1"/>
      <c r="R762" s="1"/>
    </row>
    <row r="763" spans="1:18" x14ac:dyDescent="0.2">
      <c r="A763" s="15"/>
      <c r="B763" s="66"/>
      <c r="C763" s="1"/>
      <c r="D763" s="66"/>
      <c r="E763" s="1"/>
      <c r="F763" s="66"/>
      <c r="G763" s="66"/>
      <c r="H763" s="66"/>
      <c r="I763" s="66"/>
      <c r="J763" s="1"/>
      <c r="K763" s="1"/>
      <c r="L763" s="1"/>
      <c r="M763" s="1"/>
      <c r="N763" s="9"/>
      <c r="O763" s="9"/>
      <c r="P763" s="9"/>
      <c r="Q763" s="1"/>
      <c r="R763" s="1"/>
    </row>
    <row r="764" spans="1:18" x14ac:dyDescent="0.2">
      <c r="A764" s="15"/>
      <c r="B764" s="66"/>
      <c r="C764" s="1"/>
      <c r="D764" s="66"/>
      <c r="E764" s="1"/>
      <c r="F764" s="66"/>
      <c r="G764" s="66"/>
      <c r="H764" s="66"/>
      <c r="I764" s="66"/>
      <c r="J764" s="1"/>
      <c r="K764" s="1"/>
      <c r="L764" s="1"/>
      <c r="M764" s="1"/>
      <c r="N764" s="9"/>
      <c r="O764" s="9"/>
      <c r="P764" s="9"/>
      <c r="Q764" s="1"/>
      <c r="R764" s="1"/>
    </row>
    <row r="765" spans="1:18" x14ac:dyDescent="0.2">
      <c r="A765" s="15"/>
      <c r="B765" s="66"/>
      <c r="C765" s="1"/>
      <c r="D765" s="66"/>
      <c r="E765" s="1"/>
      <c r="F765" s="66"/>
      <c r="G765" s="66"/>
      <c r="H765" s="66"/>
      <c r="I765" s="66"/>
      <c r="J765" s="1"/>
      <c r="K765" s="1"/>
      <c r="L765" s="1"/>
      <c r="M765" s="1"/>
      <c r="N765" s="9"/>
      <c r="O765" s="9"/>
      <c r="P765" s="9"/>
      <c r="Q765" s="1"/>
      <c r="R765" s="1"/>
    </row>
    <row r="766" spans="1:18" x14ac:dyDescent="0.2">
      <c r="A766" s="15"/>
      <c r="B766" s="66"/>
      <c r="C766" s="1"/>
      <c r="D766" s="66"/>
      <c r="E766" s="1"/>
      <c r="F766" s="66"/>
      <c r="G766" s="66"/>
      <c r="H766" s="66"/>
      <c r="I766" s="66"/>
      <c r="J766" s="1"/>
      <c r="K766" s="1"/>
      <c r="L766" s="1"/>
      <c r="M766" s="1"/>
      <c r="N766" s="9"/>
      <c r="O766" s="9"/>
      <c r="P766" s="9"/>
      <c r="Q766" s="1"/>
      <c r="R766" s="1"/>
    </row>
    <row r="767" spans="1:18" x14ac:dyDescent="0.2">
      <c r="A767" s="15"/>
      <c r="B767" s="66"/>
      <c r="C767" s="1"/>
      <c r="D767" s="66"/>
      <c r="E767" s="1"/>
      <c r="F767" s="66"/>
      <c r="G767" s="66"/>
      <c r="H767" s="66"/>
      <c r="I767" s="66"/>
      <c r="J767" s="1"/>
      <c r="K767" s="1"/>
      <c r="L767" s="1"/>
      <c r="M767" s="1"/>
      <c r="N767" s="9"/>
      <c r="O767" s="9"/>
      <c r="P767" s="9"/>
      <c r="Q767" s="1"/>
      <c r="R767" s="1"/>
    </row>
    <row r="768" spans="1:18" x14ac:dyDescent="0.2">
      <c r="A768" s="15"/>
      <c r="B768" s="66"/>
      <c r="C768" s="1"/>
      <c r="D768" s="66"/>
      <c r="E768" s="1"/>
      <c r="F768" s="66"/>
      <c r="G768" s="66"/>
      <c r="H768" s="66"/>
      <c r="I768" s="66"/>
      <c r="J768" s="1"/>
      <c r="K768" s="1"/>
      <c r="L768" s="1"/>
      <c r="M768" s="1"/>
      <c r="N768" s="9"/>
      <c r="O768" s="9"/>
      <c r="P768" s="9"/>
      <c r="Q768" s="1"/>
      <c r="R768" s="1"/>
    </row>
    <row r="769" spans="1:18" x14ac:dyDescent="0.2">
      <c r="A769" s="15"/>
      <c r="B769" s="66"/>
      <c r="C769" s="1"/>
      <c r="D769" s="66"/>
      <c r="E769" s="1"/>
      <c r="F769" s="66"/>
      <c r="G769" s="66"/>
      <c r="H769" s="66"/>
      <c r="I769" s="66"/>
      <c r="J769" s="1"/>
      <c r="K769" s="1"/>
      <c r="L769" s="1"/>
      <c r="M769" s="1"/>
      <c r="N769" s="9"/>
      <c r="O769" s="9"/>
      <c r="P769" s="9"/>
      <c r="Q769" s="1"/>
      <c r="R769" s="1"/>
    </row>
    <row r="770" spans="1:18" x14ac:dyDescent="0.2">
      <c r="A770" s="15"/>
      <c r="B770" s="66"/>
      <c r="C770" s="1"/>
      <c r="D770" s="66"/>
      <c r="E770" s="1"/>
      <c r="F770" s="66"/>
      <c r="G770" s="66"/>
      <c r="H770" s="66"/>
      <c r="I770" s="66"/>
      <c r="J770" s="1"/>
      <c r="K770" s="1"/>
      <c r="L770" s="1"/>
      <c r="M770" s="1"/>
      <c r="N770" s="9"/>
      <c r="O770" s="9"/>
      <c r="P770" s="9"/>
      <c r="Q770" s="1"/>
      <c r="R770" s="1"/>
    </row>
    <row r="771" spans="1:18" x14ac:dyDescent="0.2">
      <c r="A771" s="15"/>
      <c r="B771" s="66"/>
      <c r="C771" s="1"/>
      <c r="D771" s="66"/>
      <c r="E771" s="1"/>
      <c r="F771" s="66"/>
      <c r="G771" s="66"/>
      <c r="H771" s="66"/>
      <c r="I771" s="66"/>
      <c r="J771" s="1"/>
      <c r="K771" s="1"/>
      <c r="L771" s="1"/>
      <c r="M771" s="1"/>
      <c r="N771" s="9"/>
      <c r="O771" s="9"/>
      <c r="P771" s="9"/>
      <c r="Q771" s="1"/>
      <c r="R771" s="1"/>
    </row>
    <row r="772" spans="1:18" x14ac:dyDescent="0.2">
      <c r="A772" s="15"/>
      <c r="B772" s="66"/>
      <c r="C772" s="1"/>
      <c r="D772" s="66"/>
      <c r="E772" s="1"/>
      <c r="F772" s="66"/>
      <c r="G772" s="66"/>
      <c r="H772" s="66"/>
      <c r="I772" s="66"/>
      <c r="J772" s="1"/>
      <c r="K772" s="1"/>
      <c r="L772" s="1"/>
      <c r="M772" s="1"/>
      <c r="N772" s="9"/>
      <c r="O772" s="9"/>
      <c r="P772" s="9"/>
      <c r="Q772" s="1"/>
      <c r="R772" s="1"/>
    </row>
    <row r="773" spans="1:18" x14ac:dyDescent="0.2">
      <c r="A773" s="15"/>
      <c r="B773" s="66"/>
      <c r="C773" s="1"/>
      <c r="D773" s="66"/>
      <c r="E773" s="1"/>
      <c r="F773" s="66"/>
      <c r="G773" s="66"/>
      <c r="H773" s="66"/>
      <c r="I773" s="66"/>
      <c r="J773" s="1"/>
      <c r="K773" s="1"/>
      <c r="L773" s="1"/>
      <c r="M773" s="1"/>
      <c r="N773" s="9"/>
      <c r="O773" s="9"/>
      <c r="P773" s="9"/>
      <c r="Q773" s="1"/>
      <c r="R773" s="1"/>
    </row>
    <row r="774" spans="1:18" x14ac:dyDescent="0.2">
      <c r="A774" s="15"/>
      <c r="B774" s="66"/>
      <c r="C774" s="1"/>
      <c r="D774" s="66"/>
      <c r="E774" s="1"/>
      <c r="F774" s="66"/>
      <c r="G774" s="66"/>
      <c r="H774" s="66"/>
      <c r="I774" s="66"/>
      <c r="J774" s="1"/>
      <c r="K774" s="1"/>
      <c r="L774" s="1"/>
      <c r="M774" s="1"/>
      <c r="N774" s="9"/>
      <c r="O774" s="9"/>
      <c r="P774" s="9"/>
      <c r="Q774" s="1"/>
      <c r="R774" s="1"/>
    </row>
    <row r="775" spans="1:18" x14ac:dyDescent="0.2">
      <c r="A775" s="15"/>
      <c r="B775" s="66"/>
      <c r="C775" s="1"/>
      <c r="D775" s="66"/>
      <c r="E775" s="1"/>
      <c r="F775" s="66"/>
      <c r="G775" s="66"/>
      <c r="H775" s="66"/>
      <c r="I775" s="66"/>
      <c r="J775" s="1"/>
      <c r="K775" s="1"/>
      <c r="L775" s="1"/>
      <c r="M775" s="1"/>
      <c r="N775" s="9"/>
      <c r="O775" s="9"/>
      <c r="P775" s="9"/>
      <c r="Q775" s="1"/>
      <c r="R775" s="1"/>
    </row>
    <row r="776" spans="1:18" x14ac:dyDescent="0.2">
      <c r="A776" s="15"/>
      <c r="B776" s="66"/>
      <c r="C776" s="1"/>
      <c r="D776" s="66"/>
      <c r="E776" s="1"/>
      <c r="F776" s="66"/>
      <c r="G776" s="66"/>
      <c r="H776" s="66"/>
      <c r="I776" s="66"/>
      <c r="J776" s="1"/>
      <c r="K776" s="1"/>
      <c r="L776" s="1"/>
      <c r="M776" s="1"/>
      <c r="N776" s="9"/>
      <c r="O776" s="9"/>
      <c r="P776" s="9"/>
      <c r="Q776" s="1"/>
      <c r="R776" s="1"/>
    </row>
    <row r="777" spans="1:18" x14ac:dyDescent="0.2">
      <c r="A777" s="15"/>
      <c r="B777" s="66"/>
      <c r="C777" s="1"/>
      <c r="D777" s="66"/>
      <c r="E777" s="1"/>
      <c r="F777" s="66"/>
      <c r="G777" s="66"/>
      <c r="H777" s="66"/>
      <c r="I777" s="66"/>
      <c r="J777" s="1"/>
      <c r="K777" s="1"/>
      <c r="L777" s="1"/>
      <c r="M777" s="1"/>
      <c r="N777" s="9"/>
      <c r="O777" s="9"/>
      <c r="P777" s="9"/>
      <c r="Q777" s="1"/>
      <c r="R777" s="1"/>
    </row>
    <row r="778" spans="1:18" x14ac:dyDescent="0.2">
      <c r="A778" s="15"/>
      <c r="B778" s="66"/>
      <c r="C778" s="1"/>
      <c r="D778" s="66"/>
      <c r="E778" s="1"/>
      <c r="F778" s="66"/>
      <c r="G778" s="66"/>
      <c r="H778" s="66"/>
      <c r="I778" s="66"/>
      <c r="J778" s="1"/>
      <c r="K778" s="1"/>
      <c r="L778" s="1"/>
      <c r="M778" s="1"/>
      <c r="N778" s="9"/>
      <c r="O778" s="9"/>
      <c r="P778" s="9"/>
      <c r="Q778" s="1"/>
      <c r="R778" s="1"/>
    </row>
    <row r="779" spans="1:18" x14ac:dyDescent="0.2">
      <c r="A779" s="15"/>
      <c r="B779" s="66"/>
      <c r="C779" s="1"/>
      <c r="D779" s="66"/>
      <c r="E779" s="1"/>
      <c r="F779" s="66"/>
      <c r="G779" s="66"/>
      <c r="H779" s="66"/>
      <c r="I779" s="66"/>
      <c r="J779" s="1"/>
      <c r="K779" s="1"/>
      <c r="L779" s="1"/>
      <c r="M779" s="1"/>
      <c r="N779" s="9"/>
      <c r="O779" s="9"/>
      <c r="P779" s="9"/>
      <c r="Q779" s="1"/>
      <c r="R779" s="1"/>
    </row>
    <row r="780" spans="1:18" x14ac:dyDescent="0.2">
      <c r="A780" s="15"/>
      <c r="B780" s="66"/>
      <c r="C780" s="1"/>
      <c r="D780" s="66"/>
      <c r="E780" s="1"/>
      <c r="F780" s="66"/>
      <c r="G780" s="66"/>
      <c r="H780" s="66"/>
      <c r="I780" s="66"/>
      <c r="J780" s="1"/>
      <c r="K780" s="1"/>
      <c r="L780" s="1"/>
      <c r="M780" s="1"/>
      <c r="N780" s="9"/>
      <c r="O780" s="9"/>
      <c r="P780" s="9"/>
      <c r="Q780" s="1"/>
      <c r="R780" s="1"/>
    </row>
    <row r="781" spans="1:18" x14ac:dyDescent="0.2">
      <c r="A781" s="15"/>
      <c r="B781" s="66"/>
      <c r="C781" s="1"/>
      <c r="D781" s="66"/>
      <c r="E781" s="1"/>
      <c r="F781" s="66"/>
      <c r="G781" s="66"/>
      <c r="H781" s="66"/>
      <c r="I781" s="66"/>
      <c r="J781" s="1"/>
      <c r="K781" s="1"/>
      <c r="L781" s="1"/>
      <c r="M781" s="1"/>
      <c r="N781" s="9"/>
      <c r="O781" s="9"/>
      <c r="P781" s="9"/>
      <c r="Q781" s="1"/>
      <c r="R781" s="1"/>
    </row>
    <row r="782" spans="1:18" x14ac:dyDescent="0.2">
      <c r="A782" s="15"/>
      <c r="B782" s="66"/>
      <c r="C782" s="1"/>
      <c r="D782" s="66"/>
      <c r="E782" s="1"/>
      <c r="F782" s="66"/>
      <c r="G782" s="66"/>
      <c r="H782" s="66"/>
      <c r="I782" s="66"/>
      <c r="J782" s="1"/>
      <c r="K782" s="1"/>
      <c r="L782" s="1"/>
      <c r="M782" s="1"/>
      <c r="N782" s="9"/>
      <c r="O782" s="9"/>
      <c r="P782" s="9"/>
      <c r="Q782" s="1"/>
      <c r="R782" s="1"/>
    </row>
    <row r="783" spans="1:18" x14ac:dyDescent="0.2">
      <c r="A783" s="15"/>
      <c r="B783" s="66"/>
      <c r="C783" s="1"/>
      <c r="D783" s="66"/>
      <c r="E783" s="1"/>
      <c r="F783" s="66"/>
      <c r="G783" s="66"/>
      <c r="H783" s="66"/>
      <c r="I783" s="66"/>
      <c r="J783" s="1"/>
      <c r="K783" s="1"/>
      <c r="L783" s="1"/>
      <c r="M783" s="1"/>
      <c r="N783" s="9"/>
      <c r="O783" s="9"/>
      <c r="P783" s="9"/>
      <c r="Q783" s="1"/>
      <c r="R783" s="1"/>
    </row>
    <row r="784" spans="1:18" x14ac:dyDescent="0.2">
      <c r="A784" s="15"/>
      <c r="B784" s="66"/>
      <c r="C784" s="1"/>
      <c r="D784" s="66"/>
      <c r="E784" s="1"/>
      <c r="F784" s="66"/>
      <c r="G784" s="66"/>
      <c r="H784" s="66"/>
      <c r="I784" s="66"/>
      <c r="J784" s="1"/>
      <c r="K784" s="1"/>
      <c r="L784" s="1"/>
      <c r="M784" s="1"/>
      <c r="N784" s="9"/>
      <c r="O784" s="9"/>
      <c r="P784" s="9"/>
      <c r="Q784" s="1"/>
      <c r="R784" s="1"/>
    </row>
    <row r="785" spans="1:18" x14ac:dyDescent="0.2">
      <c r="A785" s="15"/>
      <c r="B785" s="66"/>
      <c r="C785" s="1"/>
      <c r="D785" s="66"/>
      <c r="E785" s="1"/>
      <c r="F785" s="66"/>
      <c r="G785" s="66"/>
      <c r="H785" s="66"/>
      <c r="I785" s="66"/>
      <c r="J785" s="1"/>
      <c r="K785" s="1"/>
      <c r="L785" s="1"/>
      <c r="M785" s="1"/>
      <c r="N785" s="9"/>
      <c r="O785" s="9"/>
      <c r="P785" s="9"/>
      <c r="Q785" s="1"/>
      <c r="R785" s="1"/>
    </row>
    <row r="786" spans="1:18" x14ac:dyDescent="0.2">
      <c r="A786" s="15"/>
      <c r="B786" s="66"/>
      <c r="C786" s="1"/>
      <c r="D786" s="66"/>
      <c r="E786" s="1"/>
      <c r="F786" s="66"/>
      <c r="G786" s="66"/>
      <c r="H786" s="66"/>
      <c r="I786" s="66"/>
      <c r="J786" s="1"/>
      <c r="K786" s="1"/>
      <c r="L786" s="1"/>
      <c r="M786" s="1"/>
      <c r="N786" s="9"/>
      <c r="O786" s="9"/>
      <c r="P786" s="9"/>
      <c r="Q786" s="1"/>
      <c r="R786" s="1"/>
    </row>
    <row r="787" spans="1:18" x14ac:dyDescent="0.2">
      <c r="A787" s="15"/>
      <c r="B787" s="66"/>
      <c r="C787" s="1"/>
      <c r="D787" s="66"/>
      <c r="E787" s="1"/>
      <c r="F787" s="66"/>
      <c r="G787" s="66"/>
      <c r="H787" s="66"/>
      <c r="I787" s="66"/>
      <c r="J787" s="1"/>
      <c r="K787" s="1"/>
      <c r="L787" s="1"/>
      <c r="M787" s="1"/>
      <c r="N787" s="9"/>
      <c r="O787" s="9"/>
      <c r="P787" s="9"/>
      <c r="Q787" s="1"/>
      <c r="R787" s="1"/>
    </row>
    <row r="788" spans="1:18" x14ac:dyDescent="0.2">
      <c r="A788" s="15"/>
      <c r="B788" s="66"/>
      <c r="C788" s="1"/>
      <c r="D788" s="66"/>
      <c r="E788" s="1"/>
      <c r="F788" s="66"/>
      <c r="G788" s="66"/>
      <c r="H788" s="66"/>
      <c r="I788" s="66"/>
      <c r="J788" s="1"/>
      <c r="K788" s="1"/>
      <c r="L788" s="1"/>
      <c r="M788" s="1"/>
      <c r="N788" s="9"/>
      <c r="O788" s="9"/>
      <c r="P788" s="9"/>
      <c r="Q788" s="1"/>
      <c r="R788" s="1"/>
    </row>
    <row r="789" spans="1:18" x14ac:dyDescent="0.2">
      <c r="A789" s="15"/>
      <c r="B789" s="66"/>
      <c r="C789" s="1"/>
      <c r="D789" s="66"/>
      <c r="E789" s="1"/>
      <c r="F789" s="66"/>
      <c r="G789" s="66"/>
      <c r="H789" s="66"/>
      <c r="I789" s="66"/>
      <c r="J789" s="1"/>
      <c r="K789" s="1"/>
      <c r="L789" s="1"/>
      <c r="M789" s="1"/>
      <c r="N789" s="9"/>
      <c r="O789" s="9"/>
      <c r="P789" s="9"/>
      <c r="Q789" s="1"/>
      <c r="R789" s="1"/>
    </row>
    <row r="790" spans="1:18" x14ac:dyDescent="0.2">
      <c r="A790" s="15"/>
      <c r="B790" s="66"/>
      <c r="C790" s="1"/>
      <c r="D790" s="66"/>
      <c r="E790" s="1"/>
      <c r="F790" s="66"/>
      <c r="G790" s="66"/>
      <c r="H790" s="66"/>
      <c r="I790" s="66"/>
      <c r="J790" s="1"/>
      <c r="K790" s="1"/>
      <c r="L790" s="1"/>
      <c r="M790" s="1"/>
      <c r="N790" s="9"/>
      <c r="O790" s="9"/>
      <c r="P790" s="9"/>
      <c r="Q790" s="1"/>
      <c r="R790" s="1"/>
    </row>
    <row r="791" spans="1:18" x14ac:dyDescent="0.2">
      <c r="A791" s="15"/>
      <c r="B791" s="66"/>
      <c r="C791" s="1"/>
      <c r="D791" s="66"/>
      <c r="E791" s="1"/>
      <c r="F791" s="66"/>
      <c r="G791" s="66"/>
      <c r="H791" s="66"/>
      <c r="I791" s="66"/>
      <c r="J791" s="1"/>
      <c r="K791" s="1"/>
      <c r="L791" s="1"/>
      <c r="M791" s="1"/>
      <c r="N791" s="9"/>
      <c r="O791" s="9"/>
      <c r="P791" s="9"/>
      <c r="Q791" s="1"/>
      <c r="R791" s="1"/>
    </row>
    <row r="792" spans="1:18" x14ac:dyDescent="0.2">
      <c r="A792" s="15"/>
      <c r="B792" s="66"/>
      <c r="C792" s="1"/>
      <c r="D792" s="66"/>
      <c r="E792" s="1"/>
      <c r="F792" s="66"/>
      <c r="G792" s="66"/>
      <c r="H792" s="66"/>
      <c r="I792" s="66"/>
      <c r="J792" s="1"/>
      <c r="K792" s="1"/>
      <c r="L792" s="1"/>
      <c r="M792" s="1"/>
      <c r="N792" s="9"/>
      <c r="O792" s="9"/>
      <c r="P792" s="9"/>
      <c r="Q792" s="1"/>
      <c r="R792" s="1"/>
    </row>
    <row r="793" spans="1:18" x14ac:dyDescent="0.2">
      <c r="A793" s="15"/>
      <c r="B793" s="66"/>
      <c r="C793" s="1"/>
      <c r="D793" s="66"/>
      <c r="E793" s="1"/>
      <c r="F793" s="66"/>
      <c r="G793" s="66"/>
      <c r="H793" s="66"/>
      <c r="I793" s="66"/>
      <c r="J793" s="1"/>
      <c r="K793" s="1"/>
      <c r="L793" s="1"/>
      <c r="M793" s="1"/>
      <c r="N793" s="9"/>
      <c r="O793" s="9"/>
      <c r="P793" s="9"/>
      <c r="Q793" s="1"/>
      <c r="R793" s="1"/>
    </row>
    <row r="794" spans="1:18" x14ac:dyDescent="0.2">
      <c r="A794" s="15"/>
      <c r="B794" s="66"/>
      <c r="C794" s="1"/>
      <c r="D794" s="66"/>
      <c r="E794" s="1"/>
      <c r="F794" s="66"/>
      <c r="G794" s="66"/>
      <c r="H794" s="66"/>
      <c r="I794" s="66"/>
      <c r="J794" s="1"/>
      <c r="K794" s="1"/>
      <c r="L794" s="1"/>
      <c r="M794" s="1"/>
      <c r="N794" s="9"/>
      <c r="O794" s="9"/>
      <c r="P794" s="9"/>
      <c r="Q794" s="1"/>
      <c r="R794" s="1"/>
    </row>
    <row r="795" spans="1:18" x14ac:dyDescent="0.2">
      <c r="A795" s="15"/>
      <c r="B795" s="66"/>
      <c r="C795" s="1"/>
      <c r="D795" s="66"/>
      <c r="E795" s="1"/>
      <c r="F795" s="66"/>
      <c r="G795" s="66"/>
      <c r="H795" s="66"/>
      <c r="I795" s="66"/>
      <c r="J795" s="1"/>
      <c r="K795" s="1"/>
      <c r="L795" s="1"/>
      <c r="M795" s="1"/>
      <c r="N795" s="9"/>
      <c r="O795" s="9"/>
      <c r="P795" s="9"/>
      <c r="Q795" s="1"/>
      <c r="R795" s="1"/>
    </row>
    <row r="796" spans="1:18" x14ac:dyDescent="0.2">
      <c r="A796" s="15"/>
      <c r="B796" s="66"/>
      <c r="C796" s="1"/>
      <c r="D796" s="66"/>
      <c r="E796" s="1"/>
      <c r="F796" s="66"/>
      <c r="G796" s="66"/>
      <c r="H796" s="66"/>
      <c r="I796" s="66"/>
      <c r="J796" s="1"/>
      <c r="K796" s="1"/>
      <c r="L796" s="1"/>
      <c r="M796" s="1"/>
      <c r="N796" s="9"/>
      <c r="O796" s="9"/>
      <c r="P796" s="9"/>
      <c r="Q796" s="1"/>
      <c r="R796" s="1"/>
    </row>
    <row r="797" spans="1:18" x14ac:dyDescent="0.2">
      <c r="A797" s="15"/>
      <c r="B797" s="66"/>
      <c r="C797" s="1"/>
      <c r="D797" s="66"/>
      <c r="E797" s="1"/>
      <c r="F797" s="66"/>
      <c r="G797" s="66"/>
      <c r="H797" s="66"/>
      <c r="I797" s="66"/>
      <c r="J797" s="1"/>
      <c r="K797" s="1"/>
      <c r="L797" s="1"/>
      <c r="M797" s="1"/>
      <c r="N797" s="9"/>
      <c r="O797" s="9"/>
      <c r="P797" s="9"/>
      <c r="Q797" s="1"/>
      <c r="R797" s="1"/>
    </row>
    <row r="798" spans="1:18" x14ac:dyDescent="0.2">
      <c r="A798" s="15"/>
      <c r="B798" s="66"/>
      <c r="C798" s="1"/>
      <c r="D798" s="66"/>
      <c r="E798" s="1"/>
      <c r="F798" s="66"/>
      <c r="G798" s="66"/>
      <c r="H798" s="66"/>
      <c r="I798" s="66"/>
      <c r="J798" s="1"/>
      <c r="K798" s="1"/>
      <c r="L798" s="1"/>
      <c r="M798" s="1"/>
      <c r="N798" s="9"/>
      <c r="O798" s="9"/>
      <c r="P798" s="9"/>
      <c r="Q798" s="1"/>
      <c r="R798" s="1"/>
    </row>
    <row r="799" spans="1:18" x14ac:dyDescent="0.2">
      <c r="A799" s="15"/>
      <c r="B799" s="66"/>
      <c r="C799" s="1"/>
      <c r="D799" s="66"/>
      <c r="E799" s="1"/>
      <c r="F799" s="66"/>
      <c r="G799" s="66"/>
      <c r="H799" s="66"/>
      <c r="I799" s="66"/>
      <c r="J799" s="1"/>
      <c r="K799" s="1"/>
      <c r="L799" s="1"/>
      <c r="M799" s="1"/>
      <c r="N799" s="9"/>
      <c r="O799" s="9"/>
      <c r="P799" s="9"/>
      <c r="Q799" s="1"/>
      <c r="R799" s="1"/>
    </row>
    <row r="800" spans="1:18" x14ac:dyDescent="0.2">
      <c r="A800" s="15"/>
      <c r="B800" s="66"/>
      <c r="C800" s="1"/>
      <c r="D800" s="66"/>
      <c r="E800" s="1"/>
      <c r="F800" s="66"/>
      <c r="G800" s="66"/>
      <c r="H800" s="66"/>
      <c r="I800" s="66"/>
      <c r="J800" s="1"/>
      <c r="K800" s="1"/>
      <c r="L800" s="1"/>
      <c r="M800" s="1"/>
      <c r="N800" s="9"/>
      <c r="O800" s="9"/>
      <c r="P800" s="9"/>
      <c r="Q800" s="1"/>
      <c r="R800" s="1"/>
    </row>
    <row r="801" spans="1:18" x14ac:dyDescent="0.2">
      <c r="A801" s="15"/>
      <c r="B801" s="66"/>
      <c r="C801" s="1"/>
      <c r="D801" s="66"/>
      <c r="E801" s="1"/>
      <c r="F801" s="66"/>
      <c r="G801" s="66"/>
      <c r="H801" s="66"/>
      <c r="I801" s="66"/>
      <c r="J801" s="1"/>
      <c r="K801" s="1"/>
      <c r="L801" s="1"/>
      <c r="M801" s="1"/>
      <c r="N801" s="9"/>
      <c r="O801" s="9"/>
      <c r="P801" s="9"/>
      <c r="Q801" s="1"/>
      <c r="R801" s="1"/>
    </row>
    <row r="802" spans="1:18" x14ac:dyDescent="0.2">
      <c r="A802" s="15"/>
      <c r="B802" s="66"/>
      <c r="C802" s="1"/>
      <c r="D802" s="66"/>
      <c r="E802" s="1"/>
      <c r="F802" s="66"/>
      <c r="G802" s="66"/>
      <c r="H802" s="66"/>
      <c r="I802" s="66"/>
      <c r="J802" s="1"/>
      <c r="K802" s="1"/>
      <c r="L802" s="1"/>
      <c r="M802" s="1"/>
      <c r="N802" s="9"/>
      <c r="O802" s="9"/>
      <c r="P802" s="9"/>
      <c r="Q802" s="1"/>
      <c r="R802" s="1"/>
    </row>
    <row r="803" spans="1:18" x14ac:dyDescent="0.2">
      <c r="A803" s="15"/>
      <c r="B803" s="66"/>
      <c r="C803" s="1"/>
      <c r="D803" s="66"/>
      <c r="E803" s="1"/>
      <c r="F803" s="66"/>
      <c r="G803" s="66"/>
      <c r="H803" s="66"/>
      <c r="I803" s="66"/>
      <c r="J803" s="1"/>
      <c r="K803" s="1"/>
      <c r="L803" s="1"/>
      <c r="M803" s="1"/>
      <c r="N803" s="9"/>
      <c r="O803" s="9"/>
      <c r="P803" s="9"/>
      <c r="Q803" s="1"/>
      <c r="R803" s="1"/>
    </row>
    <row r="804" spans="1:18" x14ac:dyDescent="0.2">
      <c r="A804" s="15"/>
      <c r="B804" s="66"/>
      <c r="C804" s="1"/>
      <c r="D804" s="66"/>
      <c r="E804" s="1"/>
      <c r="F804" s="66"/>
      <c r="G804" s="66"/>
      <c r="H804" s="66"/>
      <c r="I804" s="66"/>
      <c r="J804" s="1"/>
      <c r="K804" s="1"/>
      <c r="L804" s="1"/>
      <c r="M804" s="1"/>
      <c r="N804" s="9"/>
      <c r="O804" s="9"/>
      <c r="P804" s="9"/>
      <c r="Q804" s="1"/>
      <c r="R804" s="1"/>
    </row>
    <row r="805" spans="1:18" x14ac:dyDescent="0.2">
      <c r="A805" s="15"/>
      <c r="B805" s="66"/>
      <c r="C805" s="1"/>
      <c r="D805" s="66"/>
      <c r="E805" s="1"/>
      <c r="F805" s="66"/>
      <c r="G805" s="66"/>
      <c r="H805" s="66"/>
      <c r="I805" s="66"/>
      <c r="J805" s="1"/>
      <c r="K805" s="1"/>
      <c r="L805" s="1"/>
      <c r="M805" s="1"/>
      <c r="N805" s="9"/>
      <c r="O805" s="9"/>
      <c r="P805" s="9"/>
      <c r="Q805" s="1"/>
      <c r="R805" s="1"/>
    </row>
    <row r="806" spans="1:18" x14ac:dyDescent="0.2">
      <c r="A806" s="15"/>
      <c r="B806" s="66"/>
      <c r="C806" s="1"/>
      <c r="D806" s="66"/>
      <c r="E806" s="1"/>
      <c r="F806" s="66"/>
      <c r="G806" s="66"/>
      <c r="H806" s="66"/>
      <c r="I806" s="66"/>
      <c r="J806" s="1"/>
      <c r="K806" s="1"/>
      <c r="L806" s="1"/>
      <c r="M806" s="1"/>
      <c r="N806" s="9"/>
      <c r="O806" s="9"/>
      <c r="P806" s="9"/>
      <c r="Q806" s="1"/>
      <c r="R806" s="1"/>
    </row>
    <row r="807" spans="1:18" x14ac:dyDescent="0.2">
      <c r="A807" s="15"/>
      <c r="B807" s="66"/>
      <c r="C807" s="1"/>
      <c r="D807" s="66"/>
      <c r="E807" s="1"/>
      <c r="F807" s="66"/>
      <c r="G807" s="66"/>
      <c r="H807" s="66"/>
      <c r="I807" s="66"/>
      <c r="J807" s="1"/>
      <c r="K807" s="1"/>
      <c r="L807" s="1"/>
      <c r="M807" s="1"/>
      <c r="N807" s="9"/>
      <c r="O807" s="9"/>
      <c r="P807" s="9"/>
      <c r="Q807" s="1"/>
      <c r="R807" s="1"/>
    </row>
    <row r="808" spans="1:18" x14ac:dyDescent="0.2">
      <c r="A808" s="15"/>
      <c r="B808" s="66"/>
      <c r="C808" s="1"/>
      <c r="D808" s="66"/>
      <c r="E808" s="1"/>
      <c r="F808" s="66"/>
      <c r="G808" s="66"/>
      <c r="H808" s="66"/>
      <c r="I808" s="66"/>
      <c r="J808" s="1"/>
      <c r="K808" s="1"/>
      <c r="L808" s="1"/>
      <c r="M808" s="1"/>
      <c r="N808" s="9"/>
      <c r="O808" s="9"/>
      <c r="P808" s="9"/>
      <c r="Q808" s="1"/>
      <c r="R808" s="1"/>
    </row>
    <row r="809" spans="1:18" x14ac:dyDescent="0.2">
      <c r="A809" s="15"/>
      <c r="B809" s="66"/>
      <c r="C809" s="1"/>
      <c r="D809" s="66"/>
      <c r="E809" s="1"/>
      <c r="F809" s="66"/>
      <c r="G809" s="66"/>
      <c r="H809" s="66"/>
      <c r="I809" s="66"/>
      <c r="J809" s="1"/>
      <c r="K809" s="1"/>
      <c r="L809" s="1"/>
      <c r="M809" s="1"/>
      <c r="N809" s="9"/>
      <c r="O809" s="9"/>
      <c r="P809" s="9"/>
      <c r="Q809" s="1"/>
      <c r="R809" s="1"/>
    </row>
    <row r="810" spans="1:18" x14ac:dyDescent="0.2">
      <c r="A810" s="15"/>
      <c r="B810" s="66"/>
      <c r="C810" s="1"/>
      <c r="D810" s="66"/>
      <c r="E810" s="1"/>
      <c r="F810" s="66"/>
      <c r="G810" s="66"/>
      <c r="H810" s="66"/>
      <c r="I810" s="66"/>
      <c r="J810" s="1"/>
      <c r="K810" s="1"/>
      <c r="L810" s="1"/>
      <c r="M810" s="1"/>
      <c r="N810" s="9"/>
      <c r="O810" s="9"/>
      <c r="P810" s="9"/>
      <c r="Q810" s="1"/>
      <c r="R810" s="1"/>
    </row>
    <row r="811" spans="1:18" x14ac:dyDescent="0.2">
      <c r="A811" s="15"/>
      <c r="B811" s="66"/>
      <c r="C811" s="1"/>
      <c r="D811" s="66"/>
      <c r="E811" s="1"/>
      <c r="F811" s="66"/>
      <c r="G811" s="66"/>
      <c r="H811" s="66"/>
      <c r="I811" s="66"/>
      <c r="J811" s="1"/>
      <c r="K811" s="1"/>
      <c r="L811" s="1"/>
      <c r="M811" s="1"/>
      <c r="N811" s="9"/>
      <c r="O811" s="9"/>
      <c r="P811" s="9"/>
      <c r="Q811" s="1"/>
      <c r="R811" s="1"/>
    </row>
    <row r="812" spans="1:18" x14ac:dyDescent="0.2">
      <c r="A812" s="15"/>
      <c r="B812" s="66"/>
      <c r="C812" s="1"/>
      <c r="D812" s="66"/>
      <c r="E812" s="1"/>
      <c r="F812" s="66"/>
      <c r="G812" s="66"/>
      <c r="H812" s="66"/>
      <c r="I812" s="66"/>
      <c r="J812" s="1"/>
      <c r="K812" s="1"/>
      <c r="L812" s="1"/>
      <c r="M812" s="1"/>
      <c r="N812" s="9"/>
      <c r="O812" s="9"/>
      <c r="P812" s="9"/>
      <c r="Q812" s="1"/>
      <c r="R812" s="1"/>
    </row>
    <row r="813" spans="1:18" x14ac:dyDescent="0.2">
      <c r="A813" s="15"/>
      <c r="B813" s="66"/>
      <c r="C813" s="1"/>
      <c r="D813" s="66"/>
      <c r="E813" s="1"/>
      <c r="F813" s="66"/>
      <c r="G813" s="66"/>
      <c r="H813" s="66"/>
      <c r="I813" s="66"/>
      <c r="J813" s="1"/>
      <c r="K813" s="1"/>
      <c r="L813" s="1"/>
      <c r="M813" s="1"/>
      <c r="N813" s="9"/>
      <c r="O813" s="9"/>
      <c r="P813" s="9"/>
      <c r="Q813" s="1"/>
      <c r="R813" s="1"/>
    </row>
    <row r="814" spans="1:18" x14ac:dyDescent="0.2">
      <c r="A814" s="15"/>
      <c r="B814" s="66"/>
      <c r="C814" s="1"/>
      <c r="D814" s="66"/>
      <c r="E814" s="1"/>
      <c r="F814" s="66"/>
      <c r="G814" s="66"/>
      <c r="H814" s="66"/>
      <c r="I814" s="66"/>
      <c r="J814" s="1"/>
      <c r="K814" s="1"/>
      <c r="L814" s="1"/>
      <c r="M814" s="1"/>
      <c r="N814" s="9"/>
      <c r="O814" s="9"/>
      <c r="P814" s="9"/>
      <c r="Q814" s="1"/>
      <c r="R814" s="1"/>
    </row>
    <row r="815" spans="1:18" x14ac:dyDescent="0.2">
      <c r="A815" s="15"/>
      <c r="B815" s="66"/>
      <c r="C815" s="1"/>
      <c r="D815" s="66"/>
      <c r="E815" s="1"/>
      <c r="F815" s="66"/>
      <c r="G815" s="66"/>
      <c r="H815" s="66"/>
      <c r="I815" s="66"/>
      <c r="J815" s="1"/>
      <c r="K815" s="1"/>
      <c r="L815" s="1"/>
      <c r="M815" s="1"/>
      <c r="N815" s="9"/>
      <c r="O815" s="9"/>
      <c r="P815" s="9"/>
      <c r="Q815" s="1"/>
      <c r="R815" s="1"/>
    </row>
    <row r="816" spans="1:18" x14ac:dyDescent="0.2">
      <c r="A816" s="15"/>
      <c r="B816" s="66"/>
      <c r="C816" s="1"/>
      <c r="D816" s="66"/>
      <c r="E816" s="1"/>
      <c r="F816" s="66"/>
      <c r="G816" s="66"/>
      <c r="H816" s="66"/>
      <c r="I816" s="66"/>
      <c r="J816" s="1"/>
      <c r="K816" s="1"/>
      <c r="L816" s="1"/>
      <c r="M816" s="1"/>
      <c r="N816" s="9"/>
      <c r="O816" s="9"/>
      <c r="P816" s="9"/>
      <c r="Q816" s="1"/>
      <c r="R816" s="1"/>
    </row>
    <row r="817" spans="1:18" x14ac:dyDescent="0.2">
      <c r="A817" s="15"/>
      <c r="B817" s="66"/>
      <c r="C817" s="1"/>
      <c r="D817" s="66"/>
      <c r="E817" s="1"/>
      <c r="F817" s="66"/>
      <c r="G817" s="66"/>
      <c r="H817" s="66"/>
      <c r="I817" s="66"/>
      <c r="J817" s="1"/>
      <c r="K817" s="1"/>
      <c r="L817" s="1"/>
      <c r="M817" s="1"/>
      <c r="N817" s="9"/>
      <c r="O817" s="9"/>
      <c r="P817" s="9"/>
      <c r="Q817" s="1"/>
      <c r="R817" s="1"/>
    </row>
    <row r="818" spans="1:18" x14ac:dyDescent="0.2">
      <c r="A818" s="15"/>
      <c r="B818" s="66"/>
      <c r="C818" s="1"/>
      <c r="D818" s="66"/>
      <c r="E818" s="1"/>
      <c r="F818" s="66"/>
      <c r="G818" s="66"/>
      <c r="H818" s="66"/>
      <c r="I818" s="66"/>
      <c r="J818" s="1"/>
      <c r="K818" s="1"/>
      <c r="L818" s="1"/>
      <c r="M818" s="1"/>
      <c r="N818" s="9"/>
      <c r="O818" s="9"/>
      <c r="P818" s="9"/>
      <c r="Q818" s="1"/>
      <c r="R818" s="1"/>
    </row>
    <row r="819" spans="1:18" x14ac:dyDescent="0.2">
      <c r="A819" s="15"/>
      <c r="B819" s="66"/>
      <c r="C819" s="1"/>
      <c r="D819" s="66"/>
      <c r="E819" s="1"/>
      <c r="F819" s="66"/>
      <c r="G819" s="66"/>
      <c r="H819" s="66"/>
      <c r="I819" s="66"/>
      <c r="J819" s="1"/>
      <c r="K819" s="1"/>
      <c r="L819" s="1"/>
      <c r="M819" s="1"/>
      <c r="N819" s="9"/>
      <c r="O819" s="9"/>
      <c r="P819" s="9"/>
      <c r="Q819" s="1"/>
      <c r="R819" s="1"/>
    </row>
    <row r="820" spans="1:18" x14ac:dyDescent="0.2">
      <c r="A820" s="15"/>
      <c r="B820" s="66"/>
      <c r="C820" s="1"/>
      <c r="D820" s="66"/>
      <c r="E820" s="1"/>
      <c r="F820" s="66"/>
      <c r="G820" s="66"/>
      <c r="H820" s="66"/>
      <c r="I820" s="66"/>
      <c r="J820" s="1"/>
      <c r="K820" s="1"/>
      <c r="L820" s="1"/>
      <c r="M820" s="1"/>
      <c r="N820" s="9"/>
      <c r="O820" s="9"/>
      <c r="P820" s="9"/>
      <c r="Q820" s="1"/>
      <c r="R820" s="1"/>
    </row>
    <row r="821" spans="1:18" x14ac:dyDescent="0.2">
      <c r="A821" s="15"/>
      <c r="B821" s="66"/>
      <c r="C821" s="1"/>
      <c r="D821" s="66"/>
      <c r="E821" s="1"/>
      <c r="F821" s="66"/>
      <c r="G821" s="66"/>
      <c r="H821" s="66"/>
      <c r="I821" s="66"/>
      <c r="J821" s="1"/>
      <c r="K821" s="1"/>
      <c r="L821" s="1"/>
      <c r="M821" s="1"/>
      <c r="N821" s="9"/>
      <c r="O821" s="9"/>
      <c r="P821" s="9"/>
      <c r="Q821" s="1"/>
      <c r="R821" s="1"/>
    </row>
    <row r="822" spans="1:18" x14ac:dyDescent="0.2">
      <c r="A822" s="15"/>
      <c r="B822" s="66"/>
      <c r="C822" s="1"/>
      <c r="D822" s="66"/>
      <c r="E822" s="1"/>
      <c r="F822" s="66"/>
      <c r="G822" s="66"/>
      <c r="H822" s="66"/>
      <c r="I822" s="66"/>
      <c r="J822" s="1"/>
      <c r="K822" s="1"/>
      <c r="L822" s="1"/>
      <c r="M822" s="1"/>
      <c r="N822" s="9"/>
      <c r="O822" s="9"/>
      <c r="P822" s="9"/>
      <c r="Q822" s="1"/>
      <c r="R822" s="1"/>
    </row>
    <row r="823" spans="1:18" x14ac:dyDescent="0.2">
      <c r="A823" s="15"/>
      <c r="B823" s="66"/>
      <c r="C823" s="1"/>
      <c r="D823" s="66"/>
      <c r="E823" s="1"/>
      <c r="F823" s="66"/>
      <c r="G823" s="66"/>
      <c r="H823" s="66"/>
      <c r="I823" s="66"/>
      <c r="J823" s="1"/>
      <c r="K823" s="1"/>
      <c r="L823" s="1"/>
      <c r="M823" s="1"/>
      <c r="N823" s="9"/>
      <c r="O823" s="9"/>
      <c r="P823" s="9"/>
      <c r="Q823" s="1"/>
      <c r="R823" s="1"/>
    </row>
    <row r="824" spans="1:18" x14ac:dyDescent="0.2">
      <c r="A824" s="15"/>
      <c r="B824" s="66"/>
      <c r="C824" s="1"/>
      <c r="D824" s="66"/>
      <c r="E824" s="1"/>
      <c r="F824" s="66"/>
      <c r="G824" s="66"/>
      <c r="H824" s="66"/>
      <c r="I824" s="66"/>
      <c r="J824" s="1"/>
      <c r="K824" s="1"/>
      <c r="L824" s="1"/>
      <c r="M824" s="1"/>
      <c r="N824" s="9"/>
      <c r="O824" s="9"/>
      <c r="P824" s="9"/>
      <c r="Q824" s="1"/>
      <c r="R824" s="1"/>
    </row>
    <row r="825" spans="1:18" x14ac:dyDescent="0.2">
      <c r="A825" s="15"/>
      <c r="B825" s="66"/>
      <c r="C825" s="1"/>
      <c r="D825" s="66"/>
      <c r="E825" s="1"/>
      <c r="F825" s="66"/>
      <c r="G825" s="66"/>
      <c r="H825" s="66"/>
      <c r="I825" s="66"/>
      <c r="J825" s="1"/>
      <c r="K825" s="1"/>
      <c r="L825" s="1"/>
      <c r="M825" s="1"/>
      <c r="N825" s="9"/>
      <c r="O825" s="9"/>
      <c r="P825" s="9"/>
      <c r="Q825" s="1"/>
      <c r="R825" s="1"/>
    </row>
    <row r="826" spans="1:18" x14ac:dyDescent="0.2">
      <c r="A826" s="15"/>
      <c r="B826" s="66"/>
      <c r="C826" s="1"/>
      <c r="D826" s="66"/>
      <c r="E826" s="1"/>
      <c r="F826" s="66"/>
      <c r="G826" s="66"/>
      <c r="H826" s="66"/>
      <c r="I826" s="66"/>
      <c r="J826" s="1"/>
      <c r="K826" s="1"/>
      <c r="L826" s="1"/>
      <c r="M826" s="1"/>
      <c r="N826" s="9"/>
      <c r="O826" s="9"/>
      <c r="P826" s="9"/>
      <c r="Q826" s="1"/>
      <c r="R826" s="1"/>
    </row>
    <row r="827" spans="1:18" x14ac:dyDescent="0.2">
      <c r="A827" s="15"/>
      <c r="B827" s="66"/>
      <c r="C827" s="1"/>
      <c r="D827" s="66"/>
      <c r="E827" s="1"/>
      <c r="F827" s="66"/>
      <c r="G827" s="66"/>
      <c r="H827" s="66"/>
      <c r="I827" s="66"/>
      <c r="J827" s="1"/>
      <c r="K827" s="1"/>
      <c r="L827" s="1"/>
      <c r="M827" s="1"/>
      <c r="N827" s="9"/>
      <c r="O827" s="9"/>
      <c r="P827" s="9"/>
      <c r="Q827" s="1"/>
      <c r="R827" s="1"/>
    </row>
    <row r="828" spans="1:18" x14ac:dyDescent="0.2">
      <c r="A828" s="15"/>
      <c r="B828" s="66"/>
      <c r="C828" s="1"/>
      <c r="D828" s="66"/>
      <c r="E828" s="1"/>
      <c r="F828" s="66"/>
      <c r="G828" s="66"/>
      <c r="H828" s="66"/>
      <c r="I828" s="66"/>
      <c r="J828" s="1"/>
      <c r="K828" s="1"/>
      <c r="L828" s="1"/>
      <c r="M828" s="1"/>
      <c r="N828" s="9"/>
      <c r="O828" s="9"/>
      <c r="P828" s="9"/>
      <c r="Q828" s="1"/>
      <c r="R828" s="1"/>
    </row>
    <row r="829" spans="1:18" x14ac:dyDescent="0.2">
      <c r="A829" s="15"/>
      <c r="B829" s="66"/>
      <c r="C829" s="1"/>
      <c r="D829" s="66"/>
      <c r="E829" s="1"/>
      <c r="F829" s="66"/>
      <c r="G829" s="66"/>
      <c r="H829" s="66"/>
      <c r="I829" s="66"/>
      <c r="J829" s="1"/>
      <c r="K829" s="1"/>
      <c r="L829" s="1"/>
      <c r="M829" s="1"/>
      <c r="N829" s="9"/>
      <c r="O829" s="9"/>
      <c r="P829" s="9"/>
      <c r="Q829" s="1"/>
      <c r="R829" s="1"/>
    </row>
    <row r="830" spans="1:18" x14ac:dyDescent="0.2">
      <c r="A830" s="15"/>
      <c r="B830" s="66"/>
      <c r="C830" s="1"/>
      <c r="D830" s="66"/>
      <c r="E830" s="1"/>
      <c r="F830" s="66"/>
      <c r="G830" s="66"/>
      <c r="H830" s="66"/>
      <c r="I830" s="66"/>
      <c r="J830" s="1"/>
      <c r="K830" s="1"/>
      <c r="L830" s="1"/>
      <c r="M830" s="1"/>
      <c r="N830" s="9"/>
      <c r="O830" s="9"/>
      <c r="P830" s="9"/>
      <c r="Q830" s="1"/>
      <c r="R830" s="1"/>
    </row>
    <row r="831" spans="1:18" x14ac:dyDescent="0.2">
      <c r="A831" s="15"/>
      <c r="B831" s="66"/>
      <c r="C831" s="1"/>
      <c r="D831" s="66"/>
      <c r="E831" s="1"/>
      <c r="F831" s="66"/>
      <c r="G831" s="66"/>
      <c r="H831" s="66"/>
      <c r="I831" s="66"/>
      <c r="J831" s="1"/>
      <c r="K831" s="1"/>
      <c r="L831" s="1"/>
      <c r="M831" s="1"/>
      <c r="N831" s="9"/>
      <c r="O831" s="9"/>
      <c r="P831" s="9"/>
      <c r="Q831" s="1"/>
      <c r="R831" s="1"/>
    </row>
    <row r="832" spans="1:18" x14ac:dyDescent="0.2">
      <c r="A832" s="15"/>
      <c r="B832" s="66"/>
      <c r="C832" s="1"/>
      <c r="D832" s="66"/>
      <c r="E832" s="1"/>
      <c r="F832" s="66"/>
      <c r="G832" s="66"/>
      <c r="H832" s="66"/>
      <c r="I832" s="66"/>
      <c r="J832" s="1"/>
      <c r="K832" s="1"/>
      <c r="L832" s="1"/>
      <c r="M832" s="1"/>
      <c r="N832" s="9"/>
      <c r="O832" s="9"/>
      <c r="P832" s="9"/>
      <c r="Q832" s="1"/>
      <c r="R832" s="1"/>
    </row>
    <row r="833" spans="1:18" x14ac:dyDescent="0.2">
      <c r="A833" s="15"/>
      <c r="B833" s="66"/>
      <c r="C833" s="1"/>
      <c r="D833" s="66"/>
      <c r="E833" s="1"/>
      <c r="F833" s="66"/>
      <c r="G833" s="66"/>
      <c r="H833" s="66"/>
      <c r="I833" s="66"/>
      <c r="J833" s="1"/>
      <c r="K833" s="1"/>
      <c r="L833" s="1"/>
      <c r="M833" s="1"/>
      <c r="N833" s="9"/>
      <c r="O833" s="9"/>
      <c r="P833" s="9"/>
      <c r="Q833" s="1"/>
      <c r="R833" s="1"/>
    </row>
    <row r="834" spans="1:18" x14ac:dyDescent="0.2">
      <c r="A834" s="15"/>
      <c r="B834" s="66"/>
      <c r="C834" s="1"/>
      <c r="D834" s="66"/>
      <c r="E834" s="1"/>
      <c r="F834" s="66"/>
      <c r="G834" s="66"/>
      <c r="H834" s="66"/>
      <c r="I834" s="66"/>
      <c r="J834" s="1"/>
      <c r="K834" s="1"/>
      <c r="L834" s="1"/>
      <c r="M834" s="1"/>
      <c r="N834" s="9"/>
      <c r="O834" s="9"/>
      <c r="P834" s="9"/>
      <c r="Q834" s="1"/>
      <c r="R834" s="1"/>
    </row>
    <row r="835" spans="1:18" x14ac:dyDescent="0.2">
      <c r="A835" s="15"/>
      <c r="B835" s="66"/>
      <c r="C835" s="1"/>
      <c r="D835" s="66"/>
      <c r="E835" s="1"/>
      <c r="F835" s="66"/>
      <c r="G835" s="66"/>
      <c r="H835" s="66"/>
      <c r="I835" s="66"/>
      <c r="J835" s="1"/>
      <c r="K835" s="1"/>
      <c r="L835" s="1"/>
      <c r="M835" s="1"/>
      <c r="N835" s="9"/>
      <c r="O835" s="9"/>
      <c r="P835" s="9"/>
      <c r="Q835" s="1"/>
      <c r="R835" s="1"/>
    </row>
    <row r="836" spans="1:18" x14ac:dyDescent="0.2">
      <c r="A836" s="15"/>
      <c r="B836" s="66"/>
      <c r="C836" s="1"/>
      <c r="D836" s="66"/>
      <c r="E836" s="1"/>
      <c r="F836" s="66"/>
      <c r="G836" s="66"/>
      <c r="H836" s="66"/>
      <c r="I836" s="66"/>
      <c r="J836" s="1"/>
      <c r="K836" s="1"/>
      <c r="L836" s="1"/>
      <c r="M836" s="1"/>
      <c r="N836" s="9"/>
      <c r="O836" s="9"/>
      <c r="P836" s="9"/>
      <c r="Q836" s="1"/>
      <c r="R836" s="1"/>
    </row>
    <row r="837" spans="1:18" x14ac:dyDescent="0.2">
      <c r="A837" s="15"/>
      <c r="B837" s="66"/>
      <c r="C837" s="1"/>
      <c r="D837" s="66"/>
      <c r="E837" s="1"/>
      <c r="F837" s="66"/>
      <c r="G837" s="66"/>
      <c r="H837" s="66"/>
      <c r="I837" s="66"/>
      <c r="J837" s="1"/>
      <c r="K837" s="1"/>
      <c r="L837" s="1"/>
      <c r="M837" s="1"/>
      <c r="N837" s="9"/>
      <c r="O837" s="9"/>
      <c r="P837" s="9"/>
      <c r="Q837" s="1"/>
      <c r="R837" s="1"/>
    </row>
    <row r="838" spans="1:18" x14ac:dyDescent="0.2">
      <c r="A838" s="15"/>
      <c r="B838" s="66"/>
      <c r="C838" s="1"/>
      <c r="D838" s="66"/>
      <c r="E838" s="1"/>
      <c r="F838" s="66"/>
      <c r="G838" s="66"/>
      <c r="H838" s="66"/>
      <c r="I838" s="66"/>
      <c r="J838" s="1"/>
      <c r="K838" s="1"/>
      <c r="L838" s="1"/>
      <c r="M838" s="1"/>
      <c r="N838" s="9"/>
      <c r="O838" s="9"/>
      <c r="P838" s="9"/>
      <c r="Q838" s="1"/>
      <c r="R838" s="1"/>
    </row>
    <row r="839" spans="1:18" x14ac:dyDescent="0.2">
      <c r="A839" s="15"/>
      <c r="B839" s="66"/>
      <c r="C839" s="1"/>
      <c r="D839" s="66"/>
      <c r="E839" s="1"/>
      <c r="F839" s="66"/>
      <c r="G839" s="66"/>
      <c r="H839" s="66"/>
      <c r="I839" s="66"/>
      <c r="J839" s="1"/>
      <c r="K839" s="1"/>
      <c r="L839" s="1"/>
      <c r="M839" s="1"/>
      <c r="N839" s="9"/>
      <c r="O839" s="9"/>
      <c r="P839" s="9"/>
      <c r="Q839" s="1"/>
      <c r="R839" s="1"/>
    </row>
    <row r="840" spans="1:18" x14ac:dyDescent="0.2">
      <c r="A840" s="15"/>
      <c r="B840" s="66"/>
      <c r="C840" s="1"/>
      <c r="D840" s="66"/>
      <c r="E840" s="1"/>
      <c r="F840" s="66"/>
      <c r="G840" s="66"/>
      <c r="H840" s="66"/>
      <c r="I840" s="66"/>
      <c r="J840" s="1"/>
      <c r="K840" s="1"/>
      <c r="L840" s="1"/>
      <c r="M840" s="1"/>
      <c r="N840" s="9"/>
      <c r="O840" s="9"/>
      <c r="P840" s="9"/>
      <c r="Q840" s="1"/>
      <c r="R840" s="1"/>
    </row>
    <row r="841" spans="1:18" x14ac:dyDescent="0.2">
      <c r="A841" s="15"/>
      <c r="B841" s="66"/>
      <c r="C841" s="1"/>
      <c r="D841" s="66"/>
      <c r="E841" s="1"/>
      <c r="F841" s="66"/>
      <c r="G841" s="66"/>
      <c r="H841" s="66"/>
      <c r="I841" s="66"/>
      <c r="J841" s="1"/>
      <c r="K841" s="1"/>
      <c r="L841" s="1"/>
      <c r="M841" s="1"/>
      <c r="N841" s="9"/>
      <c r="O841" s="9"/>
      <c r="P841" s="9"/>
      <c r="Q841" s="1"/>
      <c r="R841" s="1"/>
    </row>
    <row r="842" spans="1:18" x14ac:dyDescent="0.2">
      <c r="A842" s="15"/>
      <c r="B842" s="66"/>
      <c r="C842" s="1"/>
      <c r="D842" s="66"/>
      <c r="E842" s="1"/>
      <c r="F842" s="66"/>
      <c r="G842" s="66"/>
      <c r="H842" s="66"/>
      <c r="I842" s="66"/>
      <c r="J842" s="1"/>
      <c r="K842" s="1"/>
      <c r="L842" s="1"/>
      <c r="M842" s="1"/>
      <c r="N842" s="9"/>
      <c r="O842" s="9"/>
      <c r="P842" s="9"/>
      <c r="Q842" s="1"/>
      <c r="R842" s="1"/>
    </row>
    <row r="843" spans="1:18" x14ac:dyDescent="0.2">
      <c r="A843" s="15"/>
      <c r="B843" s="66"/>
      <c r="C843" s="1"/>
      <c r="D843" s="66"/>
      <c r="E843" s="1"/>
      <c r="F843" s="66"/>
      <c r="G843" s="66"/>
      <c r="H843" s="66"/>
      <c r="I843" s="66"/>
      <c r="J843" s="1"/>
      <c r="K843" s="1"/>
      <c r="L843" s="1"/>
      <c r="M843" s="1"/>
      <c r="N843" s="9"/>
      <c r="O843" s="9"/>
      <c r="P843" s="9"/>
      <c r="Q843" s="1"/>
      <c r="R843" s="1"/>
    </row>
    <row r="844" spans="1:18" x14ac:dyDescent="0.2">
      <c r="A844" s="15"/>
      <c r="B844" s="66"/>
      <c r="C844" s="1"/>
      <c r="D844" s="66"/>
      <c r="E844" s="1"/>
      <c r="F844" s="66"/>
      <c r="G844" s="66"/>
      <c r="H844" s="66"/>
      <c r="I844" s="66"/>
      <c r="J844" s="1"/>
      <c r="K844" s="1"/>
      <c r="L844" s="1"/>
      <c r="M844" s="1"/>
      <c r="N844" s="9"/>
      <c r="O844" s="9"/>
      <c r="P844" s="9"/>
      <c r="Q844" s="1"/>
      <c r="R844" s="1"/>
    </row>
    <row r="845" spans="1:18" x14ac:dyDescent="0.2">
      <c r="A845" s="15"/>
      <c r="B845" s="66"/>
      <c r="C845" s="1"/>
      <c r="D845" s="66"/>
      <c r="E845" s="1"/>
      <c r="F845" s="66"/>
      <c r="G845" s="66"/>
      <c r="H845" s="66"/>
      <c r="I845" s="66"/>
      <c r="J845" s="1"/>
      <c r="K845" s="1"/>
      <c r="L845" s="1"/>
      <c r="M845" s="1"/>
      <c r="N845" s="9"/>
      <c r="O845" s="9"/>
      <c r="P845" s="9"/>
      <c r="Q845" s="1"/>
      <c r="R845" s="1"/>
    </row>
    <row r="846" spans="1:18" x14ac:dyDescent="0.2">
      <c r="A846" s="15"/>
      <c r="B846" s="66"/>
      <c r="C846" s="1"/>
      <c r="D846" s="66"/>
      <c r="E846" s="1"/>
      <c r="F846" s="66"/>
      <c r="G846" s="66"/>
      <c r="H846" s="66"/>
      <c r="I846" s="66"/>
      <c r="J846" s="1"/>
      <c r="K846" s="1"/>
      <c r="L846" s="1"/>
      <c r="M846" s="1"/>
      <c r="N846" s="9"/>
      <c r="O846" s="9"/>
      <c r="P846" s="9"/>
      <c r="Q846" s="1"/>
      <c r="R846" s="1"/>
    </row>
    <row r="847" spans="1:18" x14ac:dyDescent="0.2">
      <c r="A847" s="15"/>
      <c r="B847" s="66"/>
      <c r="C847" s="1"/>
      <c r="D847" s="66"/>
      <c r="E847" s="1"/>
      <c r="F847" s="66"/>
      <c r="G847" s="66"/>
      <c r="H847" s="66"/>
      <c r="I847" s="66"/>
      <c r="J847" s="1"/>
      <c r="K847" s="1"/>
      <c r="L847" s="1"/>
      <c r="M847" s="1"/>
      <c r="N847" s="9"/>
      <c r="O847" s="9"/>
      <c r="P847" s="9"/>
      <c r="Q847" s="1"/>
      <c r="R847" s="1"/>
    </row>
    <row r="848" spans="1:18" x14ac:dyDescent="0.2">
      <c r="A848" s="15"/>
      <c r="B848" s="66"/>
      <c r="C848" s="1"/>
      <c r="D848" s="66"/>
      <c r="E848" s="1"/>
      <c r="F848" s="66"/>
      <c r="G848" s="66"/>
      <c r="H848" s="66"/>
      <c r="I848" s="66"/>
      <c r="J848" s="1"/>
      <c r="K848" s="1"/>
      <c r="L848" s="1"/>
      <c r="M848" s="1"/>
      <c r="N848" s="9"/>
      <c r="O848" s="9"/>
      <c r="P848" s="9"/>
      <c r="Q848" s="1"/>
      <c r="R848" s="1"/>
    </row>
    <row r="849" spans="1:18" x14ac:dyDescent="0.2">
      <c r="A849" s="15"/>
      <c r="B849" s="66"/>
      <c r="C849" s="1"/>
      <c r="D849" s="66"/>
      <c r="E849" s="1"/>
      <c r="F849" s="66"/>
      <c r="G849" s="66"/>
      <c r="H849" s="66"/>
      <c r="I849" s="66"/>
      <c r="J849" s="1"/>
      <c r="K849" s="1"/>
      <c r="L849" s="1"/>
      <c r="M849" s="1"/>
      <c r="N849" s="9"/>
      <c r="O849" s="9"/>
      <c r="P849" s="9"/>
      <c r="Q849" s="1"/>
      <c r="R849" s="1"/>
    </row>
    <row r="850" spans="1:18" x14ac:dyDescent="0.2">
      <c r="A850" s="15"/>
      <c r="B850" s="66"/>
      <c r="C850" s="1"/>
      <c r="D850" s="66"/>
      <c r="E850" s="1"/>
      <c r="F850" s="66"/>
      <c r="G850" s="66"/>
      <c r="H850" s="66"/>
      <c r="I850" s="66"/>
      <c r="J850" s="1"/>
      <c r="K850" s="1"/>
      <c r="L850" s="1"/>
      <c r="M850" s="1"/>
      <c r="N850" s="9"/>
      <c r="O850" s="9"/>
      <c r="P850" s="9"/>
      <c r="Q850" s="1"/>
      <c r="R850" s="1"/>
    </row>
    <row r="851" spans="1:18" x14ac:dyDescent="0.2">
      <c r="A851" s="15"/>
      <c r="B851" s="66"/>
      <c r="C851" s="1"/>
      <c r="D851" s="66"/>
      <c r="E851" s="1"/>
      <c r="F851" s="66"/>
      <c r="G851" s="66"/>
      <c r="H851" s="66"/>
      <c r="I851" s="66"/>
      <c r="J851" s="1"/>
      <c r="K851" s="1"/>
      <c r="L851" s="1"/>
      <c r="M851" s="1"/>
      <c r="N851" s="9"/>
      <c r="O851" s="9"/>
      <c r="P851" s="9"/>
      <c r="Q851" s="1"/>
      <c r="R851" s="1"/>
    </row>
    <row r="852" spans="1:18" x14ac:dyDescent="0.2">
      <c r="A852" s="15"/>
      <c r="B852" s="66"/>
      <c r="C852" s="1"/>
      <c r="D852" s="66"/>
      <c r="E852" s="1"/>
      <c r="F852" s="66"/>
      <c r="G852" s="66"/>
      <c r="H852" s="66"/>
      <c r="I852" s="66"/>
      <c r="J852" s="1"/>
      <c r="K852" s="1"/>
      <c r="L852" s="1"/>
      <c r="M852" s="1"/>
      <c r="N852" s="9"/>
      <c r="O852" s="9"/>
      <c r="P852" s="9"/>
      <c r="Q852" s="1"/>
      <c r="R852" s="1"/>
    </row>
    <row r="853" spans="1:18" x14ac:dyDescent="0.2">
      <c r="A853" s="15"/>
      <c r="B853" s="66"/>
      <c r="C853" s="1"/>
      <c r="D853" s="66"/>
      <c r="E853" s="1"/>
      <c r="F853" s="66"/>
      <c r="G853" s="66"/>
      <c r="H853" s="66"/>
      <c r="I853" s="66"/>
      <c r="J853" s="1"/>
      <c r="K853" s="1"/>
      <c r="L853" s="1"/>
      <c r="M853" s="1"/>
      <c r="N853" s="9"/>
      <c r="O853" s="9"/>
      <c r="P853" s="9"/>
      <c r="Q853" s="1"/>
      <c r="R853" s="1"/>
    </row>
    <row r="854" spans="1:18" x14ac:dyDescent="0.2">
      <c r="A854" s="15"/>
      <c r="B854" s="66"/>
      <c r="C854" s="1"/>
      <c r="D854" s="66"/>
      <c r="E854" s="1"/>
      <c r="F854" s="66"/>
      <c r="G854" s="66"/>
      <c r="H854" s="66"/>
      <c r="I854" s="66"/>
      <c r="J854" s="1"/>
      <c r="K854" s="1"/>
      <c r="L854" s="1"/>
      <c r="M854" s="1"/>
      <c r="N854" s="9"/>
      <c r="O854" s="9"/>
      <c r="P854" s="9"/>
      <c r="Q854" s="1"/>
      <c r="R854" s="1"/>
    </row>
    <row r="855" spans="1:18" x14ac:dyDescent="0.2">
      <c r="A855" s="15"/>
      <c r="B855" s="66"/>
      <c r="C855" s="1"/>
      <c r="D855" s="66"/>
      <c r="E855" s="1"/>
      <c r="F855" s="66"/>
      <c r="G855" s="66"/>
      <c r="H855" s="66"/>
      <c r="I855" s="66"/>
      <c r="J855" s="1"/>
      <c r="K855" s="1"/>
      <c r="L855" s="1"/>
      <c r="M855" s="1"/>
      <c r="N855" s="9"/>
      <c r="O855" s="9"/>
      <c r="P855" s="9"/>
      <c r="Q855" s="1"/>
      <c r="R855" s="1"/>
    </row>
    <row r="856" spans="1:18" x14ac:dyDescent="0.2">
      <c r="A856" s="15"/>
      <c r="B856" s="66"/>
      <c r="C856" s="1"/>
      <c r="D856" s="66"/>
      <c r="E856" s="1"/>
      <c r="F856" s="66"/>
      <c r="G856" s="66"/>
      <c r="H856" s="66"/>
      <c r="I856" s="66"/>
      <c r="J856" s="1"/>
      <c r="K856" s="1"/>
      <c r="L856" s="1"/>
      <c r="M856" s="1"/>
      <c r="N856" s="9"/>
      <c r="O856" s="9"/>
      <c r="P856" s="9"/>
      <c r="Q856" s="1"/>
      <c r="R856" s="1"/>
    </row>
    <row r="857" spans="1:18" x14ac:dyDescent="0.2">
      <c r="A857" s="15"/>
      <c r="B857" s="66"/>
      <c r="C857" s="1"/>
      <c r="D857" s="66"/>
      <c r="E857" s="1"/>
      <c r="F857" s="66"/>
      <c r="G857" s="66"/>
      <c r="H857" s="66"/>
      <c r="I857" s="66"/>
      <c r="J857" s="1"/>
      <c r="K857" s="1"/>
      <c r="L857" s="1"/>
      <c r="M857" s="1"/>
      <c r="N857" s="9"/>
      <c r="O857" s="9"/>
      <c r="P857" s="9"/>
      <c r="Q857" s="1"/>
      <c r="R857" s="1"/>
    </row>
    <row r="858" spans="1:18" x14ac:dyDescent="0.2">
      <c r="A858" s="15"/>
      <c r="B858" s="66"/>
      <c r="C858" s="1"/>
      <c r="D858" s="66"/>
      <c r="E858" s="1"/>
      <c r="F858" s="66"/>
      <c r="G858" s="66"/>
      <c r="H858" s="66"/>
      <c r="I858" s="66"/>
      <c r="J858" s="1"/>
      <c r="K858" s="1"/>
      <c r="L858" s="1"/>
      <c r="M858" s="1"/>
      <c r="N858" s="9"/>
      <c r="O858" s="9"/>
      <c r="P858" s="9"/>
      <c r="Q858" s="1"/>
      <c r="R858" s="1"/>
    </row>
    <row r="859" spans="1:18" x14ac:dyDescent="0.2">
      <c r="A859" s="15"/>
      <c r="B859" s="66"/>
      <c r="C859" s="1"/>
      <c r="D859" s="66"/>
      <c r="E859" s="1"/>
      <c r="F859" s="66"/>
      <c r="G859" s="66"/>
      <c r="H859" s="66"/>
      <c r="I859" s="66"/>
      <c r="J859" s="1"/>
      <c r="K859" s="1"/>
      <c r="L859" s="1"/>
      <c r="M859" s="1"/>
      <c r="N859" s="9"/>
      <c r="O859" s="9"/>
      <c r="P859" s="9"/>
      <c r="Q859" s="1"/>
      <c r="R859" s="1"/>
    </row>
    <row r="860" spans="1:18" x14ac:dyDescent="0.2">
      <c r="A860" s="15"/>
      <c r="B860" s="66"/>
      <c r="C860" s="1"/>
      <c r="D860" s="66"/>
      <c r="E860" s="1"/>
      <c r="F860" s="66"/>
      <c r="G860" s="66"/>
      <c r="H860" s="66"/>
      <c r="I860" s="66"/>
      <c r="J860" s="1"/>
      <c r="K860" s="1"/>
      <c r="L860" s="1"/>
      <c r="M860" s="1"/>
      <c r="N860" s="9"/>
      <c r="O860" s="9"/>
      <c r="P860" s="9"/>
      <c r="Q860" s="1"/>
      <c r="R860" s="1"/>
    </row>
    <row r="861" spans="1:18" x14ac:dyDescent="0.2">
      <c r="A861" s="15"/>
      <c r="B861" s="66"/>
      <c r="C861" s="1"/>
      <c r="D861" s="66"/>
      <c r="E861" s="1"/>
      <c r="F861" s="66"/>
      <c r="G861" s="66"/>
      <c r="H861" s="66"/>
      <c r="I861" s="66"/>
      <c r="J861" s="1"/>
      <c r="K861" s="1"/>
      <c r="L861" s="1"/>
      <c r="M861" s="1"/>
      <c r="N861" s="9"/>
      <c r="O861" s="9"/>
      <c r="P861" s="9"/>
      <c r="Q861" s="1"/>
      <c r="R861" s="1"/>
    </row>
    <row r="862" spans="1:18" x14ac:dyDescent="0.2">
      <c r="A862" s="15"/>
      <c r="B862" s="66"/>
      <c r="C862" s="1"/>
      <c r="D862" s="66"/>
      <c r="E862" s="1"/>
      <c r="F862" s="66"/>
      <c r="G862" s="66"/>
      <c r="H862" s="66"/>
      <c r="I862" s="66"/>
      <c r="J862" s="1"/>
      <c r="K862" s="1"/>
      <c r="L862" s="1"/>
      <c r="M862" s="1"/>
      <c r="N862" s="9"/>
      <c r="O862" s="9"/>
      <c r="P862" s="9"/>
      <c r="Q862" s="1"/>
      <c r="R862" s="1"/>
    </row>
    <row r="863" spans="1:18" x14ac:dyDescent="0.2">
      <c r="A863" s="15"/>
      <c r="B863" s="66"/>
      <c r="C863" s="1"/>
      <c r="D863" s="66"/>
      <c r="E863" s="1"/>
      <c r="F863" s="66"/>
      <c r="G863" s="66"/>
      <c r="H863" s="66"/>
      <c r="I863" s="66"/>
      <c r="J863" s="1"/>
      <c r="K863" s="1"/>
      <c r="L863" s="1"/>
      <c r="M863" s="1"/>
      <c r="N863" s="9"/>
      <c r="O863" s="9"/>
      <c r="P863" s="9"/>
      <c r="Q863" s="1"/>
      <c r="R863" s="1"/>
    </row>
    <row r="864" spans="1:18" x14ac:dyDescent="0.2">
      <c r="A864" s="15"/>
      <c r="B864" s="66"/>
      <c r="C864" s="1"/>
      <c r="D864" s="66"/>
      <c r="E864" s="1"/>
      <c r="F864" s="66"/>
      <c r="G864" s="66"/>
      <c r="H864" s="66"/>
      <c r="I864" s="66"/>
      <c r="J864" s="1"/>
      <c r="K864" s="1"/>
      <c r="L864" s="1"/>
      <c r="M864" s="1"/>
      <c r="N864" s="9"/>
      <c r="O864" s="9"/>
      <c r="P864" s="9"/>
      <c r="Q864" s="1"/>
      <c r="R864" s="1"/>
    </row>
    <row r="865" spans="1:18" x14ac:dyDescent="0.2">
      <c r="A865" s="15"/>
      <c r="B865" s="66"/>
      <c r="C865" s="1"/>
      <c r="D865" s="66"/>
      <c r="E865" s="1"/>
      <c r="F865" s="66"/>
      <c r="G865" s="66"/>
      <c r="H865" s="66"/>
      <c r="I865" s="66"/>
      <c r="J865" s="1"/>
      <c r="K865" s="1"/>
      <c r="L865" s="1"/>
      <c r="M865" s="1"/>
      <c r="N865" s="9"/>
      <c r="O865" s="9"/>
      <c r="P865" s="9"/>
      <c r="Q865" s="1"/>
      <c r="R865" s="1"/>
    </row>
    <row r="866" spans="1:18" x14ac:dyDescent="0.2">
      <c r="A866" s="15"/>
      <c r="B866" s="66"/>
      <c r="C866" s="1"/>
      <c r="D866" s="66"/>
      <c r="E866" s="1"/>
      <c r="F866" s="66"/>
      <c r="G866" s="66"/>
      <c r="H866" s="66"/>
      <c r="I866" s="66"/>
      <c r="J866" s="1"/>
      <c r="K866" s="1"/>
      <c r="L866" s="1"/>
      <c r="M866" s="1"/>
      <c r="N866" s="9"/>
      <c r="O866" s="9"/>
      <c r="P866" s="9"/>
      <c r="Q866" s="1"/>
      <c r="R866" s="1"/>
    </row>
    <row r="867" spans="1:18" x14ac:dyDescent="0.2">
      <c r="A867" s="15"/>
      <c r="B867" s="66"/>
      <c r="C867" s="1"/>
      <c r="D867" s="66"/>
      <c r="E867" s="1"/>
      <c r="F867" s="66"/>
      <c r="G867" s="66"/>
      <c r="H867" s="66"/>
      <c r="I867" s="66"/>
      <c r="J867" s="1"/>
      <c r="K867" s="1"/>
      <c r="L867" s="1"/>
      <c r="M867" s="1"/>
      <c r="N867" s="9"/>
      <c r="O867" s="9"/>
      <c r="P867" s="9"/>
      <c r="Q867" s="1"/>
      <c r="R867" s="1"/>
    </row>
    <row r="868" spans="1:18" x14ac:dyDescent="0.2">
      <c r="A868" s="15"/>
      <c r="B868" s="66"/>
      <c r="C868" s="1"/>
      <c r="D868" s="66"/>
      <c r="E868" s="1"/>
      <c r="F868" s="66"/>
      <c r="G868" s="66"/>
      <c r="H868" s="66"/>
      <c r="I868" s="66"/>
      <c r="J868" s="1"/>
      <c r="K868" s="1"/>
      <c r="L868" s="1"/>
      <c r="M868" s="1"/>
      <c r="N868" s="9"/>
      <c r="O868" s="9"/>
      <c r="P868" s="9"/>
      <c r="Q868" s="1"/>
      <c r="R868" s="1"/>
    </row>
    <row r="869" spans="1:18" x14ac:dyDescent="0.2">
      <c r="A869" s="15"/>
      <c r="B869" s="66"/>
      <c r="C869" s="1"/>
      <c r="D869" s="66"/>
      <c r="E869" s="1"/>
      <c r="F869" s="66"/>
      <c r="G869" s="66"/>
      <c r="H869" s="66"/>
      <c r="I869" s="66"/>
      <c r="J869" s="1"/>
      <c r="K869" s="1"/>
      <c r="L869" s="1"/>
      <c r="M869" s="1"/>
      <c r="N869" s="9"/>
      <c r="O869" s="9"/>
      <c r="P869" s="9"/>
      <c r="Q869" s="1"/>
      <c r="R869" s="1"/>
    </row>
    <row r="870" spans="1:18" x14ac:dyDescent="0.2">
      <c r="A870" s="15"/>
      <c r="B870" s="66"/>
      <c r="C870" s="1"/>
      <c r="D870" s="66"/>
      <c r="E870" s="1"/>
      <c r="F870" s="66"/>
      <c r="G870" s="66"/>
      <c r="H870" s="66"/>
      <c r="I870" s="66"/>
      <c r="J870" s="1"/>
      <c r="K870" s="1"/>
      <c r="L870" s="1"/>
      <c r="M870" s="1"/>
      <c r="N870" s="9"/>
      <c r="O870" s="9"/>
      <c r="P870" s="9"/>
      <c r="Q870" s="1"/>
      <c r="R870" s="1"/>
    </row>
    <row r="871" spans="1:18" x14ac:dyDescent="0.2">
      <c r="A871" s="15"/>
      <c r="B871" s="66"/>
      <c r="C871" s="1"/>
      <c r="D871" s="66"/>
      <c r="E871" s="1"/>
      <c r="F871" s="66"/>
      <c r="G871" s="66"/>
      <c r="H871" s="66"/>
      <c r="I871" s="66"/>
      <c r="J871" s="1"/>
      <c r="K871" s="1"/>
      <c r="L871" s="1"/>
      <c r="M871" s="1"/>
      <c r="N871" s="9"/>
      <c r="O871" s="9"/>
      <c r="P871" s="9"/>
      <c r="Q871" s="1"/>
      <c r="R871" s="1"/>
    </row>
    <row r="872" spans="1:18" x14ac:dyDescent="0.2">
      <c r="A872" s="15"/>
      <c r="B872" s="66"/>
      <c r="C872" s="1"/>
      <c r="D872" s="66"/>
      <c r="E872" s="1"/>
      <c r="F872" s="66"/>
      <c r="G872" s="66"/>
      <c r="H872" s="66"/>
      <c r="I872" s="66"/>
      <c r="J872" s="1"/>
      <c r="K872" s="1"/>
      <c r="L872" s="1"/>
      <c r="M872" s="1"/>
      <c r="N872" s="9"/>
      <c r="O872" s="9"/>
      <c r="P872" s="9"/>
      <c r="Q872" s="1"/>
      <c r="R872" s="1"/>
    </row>
    <row r="873" spans="1:18" x14ac:dyDescent="0.2">
      <c r="A873" s="15"/>
      <c r="B873" s="66"/>
      <c r="C873" s="1"/>
      <c r="D873" s="66"/>
      <c r="E873" s="1"/>
      <c r="F873" s="66"/>
      <c r="G873" s="66"/>
      <c r="H873" s="66"/>
      <c r="I873" s="66"/>
      <c r="J873" s="1"/>
      <c r="K873" s="1"/>
      <c r="L873" s="1"/>
      <c r="M873" s="1"/>
      <c r="N873" s="9"/>
      <c r="O873" s="9"/>
      <c r="P873" s="9"/>
      <c r="Q873" s="1"/>
      <c r="R873" s="1"/>
    </row>
    <row r="874" spans="1:18" x14ac:dyDescent="0.2">
      <c r="A874" s="15"/>
      <c r="B874" s="66"/>
      <c r="C874" s="1"/>
      <c r="D874" s="66"/>
      <c r="E874" s="1"/>
      <c r="F874" s="66"/>
      <c r="G874" s="66"/>
      <c r="H874" s="66"/>
      <c r="I874" s="66"/>
      <c r="J874" s="1"/>
      <c r="K874" s="1"/>
      <c r="L874" s="1"/>
      <c r="M874" s="1"/>
      <c r="N874" s="9"/>
      <c r="O874" s="9"/>
      <c r="P874" s="9"/>
      <c r="Q874" s="1"/>
      <c r="R874" s="1"/>
    </row>
    <row r="875" spans="1:18" x14ac:dyDescent="0.2">
      <c r="A875" s="15"/>
      <c r="B875" s="66"/>
      <c r="C875" s="1"/>
      <c r="D875" s="66"/>
      <c r="E875" s="1"/>
      <c r="F875" s="66"/>
      <c r="G875" s="66"/>
      <c r="H875" s="66"/>
      <c r="I875" s="66"/>
      <c r="J875" s="1"/>
      <c r="K875" s="1"/>
      <c r="L875" s="1"/>
      <c r="M875" s="1"/>
      <c r="N875" s="9"/>
      <c r="O875" s="9"/>
      <c r="P875" s="9"/>
      <c r="Q875" s="1"/>
      <c r="R875" s="1"/>
    </row>
    <row r="876" spans="1:18" x14ac:dyDescent="0.2">
      <c r="A876" s="15"/>
      <c r="B876" s="66"/>
      <c r="C876" s="1"/>
      <c r="D876" s="66"/>
      <c r="E876" s="1"/>
      <c r="F876" s="66"/>
      <c r="G876" s="66"/>
      <c r="H876" s="66"/>
      <c r="I876" s="66"/>
      <c r="J876" s="1"/>
      <c r="K876" s="1"/>
      <c r="L876" s="1"/>
      <c r="M876" s="1"/>
      <c r="N876" s="9"/>
      <c r="O876" s="9"/>
      <c r="P876" s="9"/>
      <c r="Q876" s="1"/>
      <c r="R876" s="1"/>
    </row>
    <row r="877" spans="1:18" x14ac:dyDescent="0.2">
      <c r="A877" s="15"/>
      <c r="B877" s="66"/>
      <c r="C877" s="1"/>
      <c r="D877" s="66"/>
      <c r="E877" s="1"/>
      <c r="F877" s="66"/>
      <c r="G877" s="66"/>
      <c r="H877" s="66"/>
      <c r="I877" s="66"/>
      <c r="J877" s="1"/>
      <c r="K877" s="1"/>
      <c r="L877" s="1"/>
      <c r="M877" s="1"/>
      <c r="N877" s="9"/>
      <c r="O877" s="9"/>
      <c r="P877" s="9"/>
      <c r="Q877" s="1"/>
      <c r="R877" s="1"/>
    </row>
    <row r="878" spans="1:18" x14ac:dyDescent="0.2">
      <c r="A878" s="15"/>
      <c r="B878" s="66"/>
      <c r="C878" s="1"/>
      <c r="D878" s="66"/>
      <c r="E878" s="1"/>
      <c r="F878" s="66"/>
      <c r="G878" s="66"/>
      <c r="H878" s="66"/>
      <c r="I878" s="66"/>
      <c r="J878" s="1"/>
      <c r="K878" s="1"/>
      <c r="L878" s="1"/>
      <c r="M878" s="1"/>
      <c r="N878" s="9"/>
      <c r="O878" s="9"/>
      <c r="P878" s="9"/>
      <c r="Q878" s="1"/>
      <c r="R878" s="1"/>
    </row>
    <row r="879" spans="1:18" x14ac:dyDescent="0.2">
      <c r="A879" s="15"/>
      <c r="B879" s="66"/>
      <c r="C879" s="1"/>
      <c r="D879" s="66"/>
      <c r="E879" s="1"/>
      <c r="F879" s="66"/>
      <c r="G879" s="66"/>
      <c r="H879" s="66"/>
      <c r="I879" s="66"/>
      <c r="J879" s="1"/>
      <c r="K879" s="1"/>
      <c r="L879" s="1"/>
      <c r="M879" s="1"/>
      <c r="N879" s="9"/>
      <c r="O879" s="9"/>
      <c r="P879" s="9"/>
      <c r="Q879" s="1"/>
      <c r="R879" s="1"/>
    </row>
    <row r="880" spans="1:18" x14ac:dyDescent="0.2">
      <c r="A880" s="15"/>
      <c r="B880" s="66"/>
      <c r="C880" s="1"/>
      <c r="D880" s="66"/>
      <c r="E880" s="1"/>
      <c r="F880" s="66"/>
      <c r="G880" s="66"/>
      <c r="H880" s="66"/>
      <c r="I880" s="66"/>
      <c r="J880" s="1"/>
      <c r="K880" s="1"/>
      <c r="L880" s="1"/>
      <c r="M880" s="1"/>
      <c r="N880" s="9"/>
      <c r="O880" s="9"/>
      <c r="P880" s="9"/>
      <c r="Q880" s="1"/>
      <c r="R880" s="1"/>
    </row>
    <row r="881" spans="1:18" x14ac:dyDescent="0.2">
      <c r="A881" s="15"/>
      <c r="B881" s="66"/>
      <c r="C881" s="1"/>
      <c r="D881" s="66"/>
      <c r="E881" s="1"/>
      <c r="F881" s="66"/>
      <c r="G881" s="66"/>
      <c r="H881" s="66"/>
      <c r="I881" s="66"/>
      <c r="J881" s="1"/>
      <c r="K881" s="1"/>
      <c r="L881" s="1"/>
      <c r="M881" s="1"/>
      <c r="N881" s="9"/>
      <c r="O881" s="9"/>
      <c r="P881" s="9"/>
      <c r="Q881" s="1"/>
      <c r="R881" s="1"/>
    </row>
    <row r="882" spans="1:18" x14ac:dyDescent="0.2">
      <c r="A882" s="15"/>
      <c r="B882" s="66"/>
      <c r="C882" s="1"/>
      <c r="D882" s="66"/>
      <c r="E882" s="1"/>
      <c r="F882" s="66"/>
      <c r="G882" s="66"/>
      <c r="H882" s="66"/>
      <c r="I882" s="66"/>
      <c r="J882" s="1"/>
      <c r="K882" s="1"/>
      <c r="L882" s="1"/>
      <c r="M882" s="1"/>
      <c r="N882" s="9"/>
      <c r="O882" s="9"/>
      <c r="P882" s="9"/>
      <c r="Q882" s="1"/>
      <c r="R882" s="1"/>
    </row>
    <row r="883" spans="1:18" x14ac:dyDescent="0.2">
      <c r="A883" s="15"/>
      <c r="B883" s="66"/>
      <c r="C883" s="1"/>
      <c r="D883" s="66"/>
      <c r="E883" s="1"/>
      <c r="F883" s="66"/>
      <c r="G883" s="66"/>
      <c r="H883" s="66"/>
      <c r="I883" s="66"/>
      <c r="J883" s="1"/>
      <c r="K883" s="1"/>
      <c r="L883" s="1"/>
      <c r="M883" s="1"/>
      <c r="N883" s="9"/>
      <c r="O883" s="9"/>
      <c r="P883" s="9"/>
      <c r="Q883" s="1"/>
      <c r="R883" s="1"/>
    </row>
    <row r="884" spans="1:18" x14ac:dyDescent="0.2">
      <c r="A884" s="15"/>
      <c r="B884" s="66"/>
      <c r="C884" s="1"/>
      <c r="D884" s="66"/>
      <c r="E884" s="1"/>
      <c r="F884" s="66"/>
      <c r="G884" s="66"/>
      <c r="H884" s="66"/>
      <c r="I884" s="66"/>
      <c r="J884" s="1"/>
      <c r="K884" s="1"/>
      <c r="L884" s="1"/>
      <c r="M884" s="1"/>
      <c r="N884" s="9"/>
      <c r="O884" s="9"/>
      <c r="P884" s="9"/>
      <c r="Q884" s="1"/>
      <c r="R884" s="1"/>
    </row>
    <row r="885" spans="1:18" x14ac:dyDescent="0.2">
      <c r="A885" s="15"/>
      <c r="B885" s="66"/>
      <c r="C885" s="1"/>
      <c r="D885" s="66"/>
      <c r="E885" s="1"/>
      <c r="F885" s="66"/>
      <c r="G885" s="66"/>
      <c r="H885" s="66"/>
      <c r="I885" s="66"/>
      <c r="J885" s="1"/>
      <c r="K885" s="1"/>
      <c r="L885" s="1"/>
      <c r="M885" s="1"/>
      <c r="N885" s="9"/>
      <c r="O885" s="9"/>
      <c r="P885" s="9"/>
      <c r="Q885" s="1"/>
      <c r="R885" s="1"/>
    </row>
    <row r="886" spans="1:18" x14ac:dyDescent="0.2">
      <c r="A886" s="15"/>
      <c r="B886" s="66"/>
      <c r="C886" s="1"/>
      <c r="D886" s="66"/>
      <c r="E886" s="1"/>
      <c r="F886" s="66"/>
      <c r="G886" s="66"/>
      <c r="H886" s="66"/>
      <c r="I886" s="66"/>
      <c r="J886" s="1"/>
      <c r="K886" s="1"/>
      <c r="L886" s="1"/>
      <c r="M886" s="1"/>
      <c r="N886" s="9"/>
      <c r="O886" s="9"/>
      <c r="P886" s="9"/>
      <c r="Q886" s="1"/>
      <c r="R886" s="1"/>
    </row>
    <row r="887" spans="1:18" x14ac:dyDescent="0.2">
      <c r="A887" s="15"/>
      <c r="B887" s="66"/>
      <c r="C887" s="1"/>
      <c r="D887" s="66"/>
      <c r="E887" s="1"/>
      <c r="F887" s="66"/>
      <c r="G887" s="66"/>
      <c r="H887" s="66"/>
      <c r="I887" s="66"/>
      <c r="J887" s="1"/>
      <c r="K887" s="1"/>
      <c r="L887" s="1"/>
      <c r="M887" s="1"/>
      <c r="N887" s="9"/>
      <c r="O887" s="9"/>
      <c r="P887" s="9"/>
      <c r="Q887" s="1"/>
      <c r="R887" s="1"/>
    </row>
    <row r="888" spans="1:18" x14ac:dyDescent="0.2">
      <c r="A888" s="15"/>
      <c r="B888" s="66"/>
      <c r="C888" s="1"/>
      <c r="D888" s="66"/>
      <c r="E888" s="1"/>
      <c r="F888" s="66"/>
      <c r="G888" s="66"/>
      <c r="H888" s="66"/>
      <c r="I888" s="66"/>
      <c r="J888" s="1"/>
      <c r="K888" s="1"/>
      <c r="L888" s="1"/>
      <c r="M888" s="1"/>
      <c r="N888" s="9"/>
      <c r="O888" s="9"/>
      <c r="P888" s="9"/>
      <c r="Q888" s="1"/>
      <c r="R888" s="1"/>
    </row>
    <row r="889" spans="1:18" x14ac:dyDescent="0.2">
      <c r="A889" s="15"/>
      <c r="B889" s="66"/>
      <c r="C889" s="1"/>
      <c r="D889" s="66"/>
      <c r="E889" s="1"/>
      <c r="F889" s="66"/>
      <c r="G889" s="66"/>
      <c r="H889" s="66"/>
      <c r="I889" s="66"/>
      <c r="J889" s="1"/>
      <c r="K889" s="1"/>
      <c r="L889" s="1"/>
      <c r="M889" s="1"/>
      <c r="N889" s="9"/>
      <c r="O889" s="9"/>
      <c r="P889" s="9"/>
      <c r="Q889" s="1"/>
      <c r="R889" s="1"/>
    </row>
    <row r="890" spans="1:18" x14ac:dyDescent="0.2">
      <c r="A890" s="15"/>
      <c r="B890" s="66"/>
      <c r="C890" s="1"/>
      <c r="D890" s="66"/>
      <c r="E890" s="1"/>
      <c r="F890" s="66"/>
      <c r="G890" s="66"/>
      <c r="H890" s="66"/>
      <c r="I890" s="66"/>
      <c r="J890" s="1"/>
      <c r="K890" s="1"/>
      <c r="L890" s="1"/>
      <c r="M890" s="1"/>
      <c r="N890" s="9"/>
      <c r="O890" s="9"/>
      <c r="P890" s="9"/>
      <c r="Q890" s="1"/>
      <c r="R890" s="1"/>
    </row>
    <row r="891" spans="1:18" x14ac:dyDescent="0.2">
      <c r="A891" s="15"/>
      <c r="B891" s="66"/>
      <c r="C891" s="1"/>
      <c r="D891" s="66"/>
      <c r="E891" s="1"/>
      <c r="F891" s="66"/>
      <c r="G891" s="66"/>
      <c r="H891" s="66"/>
      <c r="I891" s="66"/>
      <c r="J891" s="1"/>
      <c r="K891" s="1"/>
      <c r="L891" s="1"/>
      <c r="M891" s="1"/>
      <c r="N891" s="9"/>
      <c r="O891" s="9"/>
      <c r="P891" s="9"/>
      <c r="Q891" s="1"/>
      <c r="R891" s="1"/>
    </row>
    <row r="892" spans="1:18" x14ac:dyDescent="0.2">
      <c r="A892" s="15"/>
      <c r="B892" s="66"/>
      <c r="C892" s="1"/>
      <c r="D892" s="66"/>
      <c r="E892" s="1"/>
      <c r="F892" s="66"/>
      <c r="G892" s="66"/>
      <c r="H892" s="66"/>
      <c r="I892" s="66"/>
      <c r="J892" s="1"/>
      <c r="K892" s="1"/>
      <c r="L892" s="1"/>
      <c r="M892" s="1"/>
      <c r="N892" s="9"/>
      <c r="O892" s="9"/>
      <c r="P892" s="9"/>
      <c r="Q892" s="1"/>
      <c r="R892" s="1"/>
    </row>
    <row r="893" spans="1:18" x14ac:dyDescent="0.2">
      <c r="A893" s="15"/>
      <c r="B893" s="66"/>
      <c r="C893" s="1"/>
      <c r="D893" s="66"/>
      <c r="E893" s="1"/>
      <c r="F893" s="66"/>
      <c r="G893" s="66"/>
      <c r="H893" s="66"/>
      <c r="I893" s="66"/>
      <c r="J893" s="1"/>
      <c r="K893" s="1"/>
      <c r="L893" s="1"/>
      <c r="M893" s="1"/>
      <c r="N893" s="9"/>
      <c r="O893" s="9"/>
      <c r="P893" s="9"/>
      <c r="Q893" s="1"/>
      <c r="R893" s="1"/>
    </row>
    <row r="894" spans="1:18" x14ac:dyDescent="0.2">
      <c r="A894" s="15"/>
      <c r="B894" s="66"/>
      <c r="C894" s="1"/>
      <c r="D894" s="66"/>
      <c r="E894" s="1"/>
      <c r="F894" s="66"/>
      <c r="G894" s="66"/>
      <c r="H894" s="66"/>
      <c r="I894" s="66"/>
      <c r="J894" s="1"/>
      <c r="K894" s="1"/>
      <c r="L894" s="1"/>
      <c r="M894" s="1"/>
      <c r="N894" s="9"/>
      <c r="O894" s="9"/>
      <c r="P894" s="9"/>
      <c r="Q894" s="1"/>
      <c r="R894" s="1"/>
    </row>
    <row r="895" spans="1:18" x14ac:dyDescent="0.2">
      <c r="A895" s="15"/>
      <c r="B895" s="66"/>
      <c r="C895" s="1"/>
      <c r="D895" s="66"/>
      <c r="E895" s="1"/>
      <c r="F895" s="66"/>
      <c r="G895" s="66"/>
      <c r="H895" s="66"/>
      <c r="I895" s="66"/>
      <c r="J895" s="1"/>
      <c r="K895" s="1"/>
      <c r="L895" s="1"/>
      <c r="M895" s="1"/>
      <c r="N895" s="9"/>
      <c r="O895" s="9"/>
      <c r="P895" s="9"/>
      <c r="Q895" s="1"/>
      <c r="R895" s="1"/>
    </row>
    <row r="896" spans="1:18" x14ac:dyDescent="0.2">
      <c r="A896" s="15"/>
      <c r="B896" s="66"/>
      <c r="C896" s="1"/>
      <c r="D896" s="66"/>
      <c r="E896" s="1"/>
      <c r="F896" s="66"/>
      <c r="G896" s="66"/>
      <c r="H896" s="66"/>
      <c r="I896" s="66"/>
      <c r="J896" s="1"/>
      <c r="K896" s="1"/>
      <c r="L896" s="1"/>
      <c r="M896" s="1"/>
      <c r="N896" s="9"/>
      <c r="O896" s="9"/>
      <c r="P896" s="9"/>
      <c r="Q896" s="1"/>
      <c r="R896" s="1"/>
    </row>
    <row r="897" spans="1:18" x14ac:dyDescent="0.2">
      <c r="A897" s="15"/>
      <c r="B897" s="66"/>
      <c r="C897" s="1"/>
      <c r="D897" s="66"/>
      <c r="E897" s="1"/>
      <c r="F897" s="66"/>
      <c r="G897" s="66"/>
      <c r="H897" s="66"/>
      <c r="I897" s="66"/>
      <c r="J897" s="1"/>
      <c r="K897" s="1"/>
      <c r="L897" s="1"/>
      <c r="M897" s="1"/>
      <c r="N897" s="9"/>
      <c r="O897" s="9"/>
      <c r="P897" s="9"/>
      <c r="Q897" s="1"/>
      <c r="R897" s="1"/>
    </row>
    <row r="898" spans="1:18" x14ac:dyDescent="0.2">
      <c r="A898" s="15"/>
      <c r="B898" s="66"/>
      <c r="C898" s="1"/>
      <c r="D898" s="66"/>
      <c r="E898" s="1"/>
      <c r="F898" s="66"/>
      <c r="G898" s="66"/>
      <c r="H898" s="66"/>
      <c r="I898" s="66"/>
      <c r="J898" s="1"/>
      <c r="K898" s="1"/>
      <c r="L898" s="1"/>
      <c r="M898" s="1"/>
      <c r="N898" s="9"/>
      <c r="O898" s="9"/>
      <c r="P898" s="9"/>
      <c r="Q898" s="1"/>
      <c r="R898" s="1"/>
    </row>
    <row r="899" spans="1:18" x14ac:dyDescent="0.2">
      <c r="A899" s="15"/>
      <c r="B899" s="66"/>
      <c r="C899" s="1"/>
      <c r="D899" s="66"/>
      <c r="E899" s="1"/>
      <c r="F899" s="66"/>
      <c r="G899" s="66"/>
      <c r="H899" s="66"/>
      <c r="I899" s="66"/>
      <c r="J899" s="1"/>
      <c r="K899" s="1"/>
      <c r="L899" s="1"/>
      <c r="M899" s="1"/>
      <c r="N899" s="9"/>
      <c r="O899" s="9"/>
      <c r="P899" s="9"/>
      <c r="Q899" s="1"/>
      <c r="R899" s="1"/>
    </row>
    <row r="900" spans="1:18" x14ac:dyDescent="0.2">
      <c r="A900" s="15"/>
      <c r="B900" s="66"/>
      <c r="C900" s="1"/>
      <c r="D900" s="66"/>
      <c r="E900" s="1"/>
      <c r="F900" s="66"/>
      <c r="G900" s="66"/>
      <c r="H900" s="66"/>
      <c r="I900" s="66"/>
      <c r="J900" s="1"/>
      <c r="K900" s="1"/>
      <c r="L900" s="1"/>
      <c r="M900" s="1"/>
      <c r="N900" s="9"/>
      <c r="O900" s="9"/>
      <c r="P900" s="9"/>
      <c r="Q900" s="1"/>
      <c r="R900" s="1"/>
    </row>
    <row r="901" spans="1:18" x14ac:dyDescent="0.2">
      <c r="A901" s="15"/>
      <c r="B901" s="66"/>
      <c r="C901" s="1"/>
      <c r="D901" s="66"/>
      <c r="E901" s="1"/>
      <c r="F901" s="66"/>
      <c r="G901" s="66"/>
      <c r="H901" s="66"/>
      <c r="I901" s="66"/>
      <c r="J901" s="1"/>
      <c r="K901" s="1"/>
      <c r="L901" s="1"/>
      <c r="M901" s="1"/>
      <c r="N901" s="9"/>
      <c r="O901" s="9"/>
      <c r="P901" s="9"/>
      <c r="Q901" s="1"/>
      <c r="R901" s="1"/>
    </row>
    <row r="902" spans="1:18" x14ac:dyDescent="0.2">
      <c r="A902" s="15"/>
      <c r="B902" s="66"/>
      <c r="C902" s="1"/>
      <c r="D902" s="66"/>
      <c r="E902" s="1"/>
      <c r="F902" s="66"/>
      <c r="G902" s="66"/>
      <c r="H902" s="66"/>
      <c r="I902" s="66"/>
      <c r="J902" s="1"/>
      <c r="K902" s="1"/>
      <c r="L902" s="1"/>
      <c r="M902" s="1"/>
      <c r="N902" s="9"/>
      <c r="O902" s="9"/>
      <c r="P902" s="9"/>
      <c r="Q902" s="1"/>
      <c r="R902" s="1"/>
    </row>
    <row r="903" spans="1:18" x14ac:dyDescent="0.2">
      <c r="A903" s="15"/>
      <c r="B903" s="66"/>
      <c r="C903" s="1"/>
      <c r="D903" s="66"/>
      <c r="E903" s="1"/>
      <c r="F903" s="66"/>
      <c r="G903" s="66"/>
      <c r="H903" s="66"/>
      <c r="I903" s="66"/>
      <c r="J903" s="1"/>
      <c r="K903" s="1"/>
      <c r="L903" s="1"/>
      <c r="M903" s="1"/>
      <c r="N903" s="9"/>
      <c r="O903" s="9"/>
      <c r="P903" s="9"/>
      <c r="Q903" s="1"/>
      <c r="R903" s="1"/>
    </row>
    <row r="904" spans="1:18" x14ac:dyDescent="0.2">
      <c r="A904" s="15"/>
      <c r="B904" s="66"/>
      <c r="C904" s="1"/>
      <c r="D904" s="66"/>
      <c r="E904" s="1"/>
      <c r="F904" s="66"/>
      <c r="G904" s="66"/>
      <c r="H904" s="66"/>
      <c r="I904" s="66"/>
      <c r="J904" s="1"/>
      <c r="K904" s="1"/>
      <c r="L904" s="1"/>
      <c r="M904" s="1"/>
      <c r="N904" s="9"/>
      <c r="O904" s="9"/>
      <c r="P904" s="9"/>
      <c r="Q904" s="1"/>
      <c r="R904" s="1"/>
    </row>
    <row r="905" spans="1:18" x14ac:dyDescent="0.2">
      <c r="A905" s="15"/>
      <c r="B905" s="66"/>
      <c r="C905" s="1"/>
      <c r="D905" s="66"/>
      <c r="E905" s="1"/>
      <c r="F905" s="66"/>
      <c r="G905" s="66"/>
      <c r="H905" s="66"/>
      <c r="I905" s="66"/>
      <c r="J905" s="1"/>
      <c r="K905" s="1"/>
      <c r="L905" s="1"/>
      <c r="M905" s="1"/>
      <c r="N905" s="9"/>
      <c r="O905" s="9"/>
      <c r="P905" s="9"/>
      <c r="Q905" s="1"/>
      <c r="R905" s="1"/>
    </row>
    <row r="906" spans="1:18" x14ac:dyDescent="0.2">
      <c r="A906" s="15"/>
      <c r="B906" s="66"/>
      <c r="C906" s="1"/>
      <c r="D906" s="66"/>
      <c r="E906" s="1"/>
      <c r="F906" s="66"/>
      <c r="G906" s="66"/>
      <c r="H906" s="66"/>
      <c r="I906" s="66"/>
      <c r="J906" s="1"/>
      <c r="K906" s="1"/>
      <c r="L906" s="1"/>
      <c r="M906" s="1"/>
      <c r="N906" s="9"/>
      <c r="O906" s="9"/>
      <c r="P906" s="9"/>
      <c r="Q906" s="1"/>
      <c r="R906" s="1"/>
    </row>
    <row r="907" spans="1:18" x14ac:dyDescent="0.2">
      <c r="A907" s="15"/>
      <c r="B907" s="66"/>
      <c r="C907" s="1"/>
      <c r="D907" s="66"/>
      <c r="E907" s="1"/>
      <c r="F907" s="66"/>
      <c r="G907" s="66"/>
      <c r="H907" s="66"/>
      <c r="I907" s="66"/>
      <c r="J907" s="1"/>
      <c r="K907" s="1"/>
      <c r="L907" s="1"/>
      <c r="M907" s="1"/>
      <c r="N907" s="9"/>
      <c r="O907" s="9"/>
      <c r="P907" s="9"/>
      <c r="Q907" s="1"/>
      <c r="R907" s="1"/>
    </row>
    <row r="908" spans="1:18" x14ac:dyDescent="0.2">
      <c r="A908" s="15"/>
      <c r="B908" s="66"/>
      <c r="C908" s="1"/>
      <c r="D908" s="66"/>
      <c r="E908" s="1"/>
      <c r="F908" s="66"/>
      <c r="G908" s="66"/>
      <c r="H908" s="66"/>
      <c r="I908" s="66"/>
      <c r="J908" s="1"/>
      <c r="K908" s="1"/>
      <c r="L908" s="1"/>
      <c r="M908" s="1"/>
      <c r="N908" s="9"/>
      <c r="O908" s="9"/>
      <c r="P908" s="9"/>
      <c r="Q908" s="1"/>
      <c r="R908" s="1"/>
    </row>
    <row r="909" spans="1:18" x14ac:dyDescent="0.2">
      <c r="A909" s="15"/>
      <c r="B909" s="66"/>
      <c r="C909" s="1"/>
      <c r="D909" s="66"/>
      <c r="E909" s="1"/>
      <c r="F909" s="66"/>
      <c r="G909" s="66"/>
      <c r="H909" s="66"/>
      <c r="I909" s="66"/>
      <c r="J909" s="1"/>
      <c r="K909" s="1"/>
      <c r="L909" s="1"/>
      <c r="M909" s="1"/>
      <c r="N909" s="9"/>
      <c r="O909" s="9"/>
      <c r="P909" s="9"/>
      <c r="Q909" s="1"/>
      <c r="R909" s="1"/>
    </row>
    <row r="910" spans="1:18" x14ac:dyDescent="0.2">
      <c r="A910" s="15"/>
      <c r="B910" s="66"/>
      <c r="C910" s="1"/>
      <c r="D910" s="66"/>
      <c r="E910" s="1"/>
      <c r="F910" s="66"/>
      <c r="G910" s="66"/>
      <c r="H910" s="66"/>
      <c r="I910" s="66"/>
      <c r="J910" s="1"/>
      <c r="K910" s="1"/>
      <c r="L910" s="1"/>
      <c r="M910" s="1"/>
      <c r="N910" s="9"/>
      <c r="O910" s="9"/>
      <c r="P910" s="9"/>
      <c r="Q910" s="1"/>
      <c r="R910" s="1"/>
    </row>
    <row r="911" spans="1:18" x14ac:dyDescent="0.2">
      <c r="A911" s="15"/>
      <c r="B911" s="66"/>
      <c r="C911" s="1"/>
      <c r="D911" s="66"/>
      <c r="E911" s="1"/>
      <c r="F911" s="66"/>
      <c r="G911" s="66"/>
      <c r="H911" s="66"/>
      <c r="I911" s="66"/>
      <c r="J911" s="1"/>
      <c r="K911" s="1"/>
      <c r="L911" s="1"/>
      <c r="M911" s="1"/>
      <c r="N911" s="9"/>
      <c r="O911" s="9"/>
      <c r="P911" s="9"/>
      <c r="Q911" s="1"/>
      <c r="R911" s="1"/>
    </row>
    <row r="912" spans="1:18" x14ac:dyDescent="0.2">
      <c r="A912" s="15"/>
      <c r="B912" s="66"/>
      <c r="C912" s="1"/>
      <c r="D912" s="66"/>
      <c r="E912" s="1"/>
      <c r="F912" s="66"/>
      <c r="G912" s="66"/>
      <c r="H912" s="66"/>
      <c r="I912" s="66"/>
      <c r="J912" s="1"/>
      <c r="K912" s="1"/>
      <c r="L912" s="1"/>
      <c r="M912" s="1"/>
      <c r="N912" s="9"/>
      <c r="O912" s="9"/>
      <c r="P912" s="9"/>
      <c r="Q912" s="1"/>
      <c r="R912" s="1"/>
    </row>
    <row r="913" spans="1:18" x14ac:dyDescent="0.2">
      <c r="A913" s="15"/>
      <c r="B913" s="66"/>
      <c r="C913" s="1"/>
      <c r="D913" s="66"/>
      <c r="E913" s="1"/>
      <c r="F913" s="66"/>
      <c r="G913" s="66"/>
      <c r="H913" s="66"/>
      <c r="I913" s="66"/>
      <c r="J913" s="1"/>
      <c r="K913" s="1"/>
      <c r="L913" s="1"/>
      <c r="M913" s="1"/>
      <c r="N913" s="9"/>
      <c r="O913" s="9"/>
      <c r="P913" s="9"/>
      <c r="Q913" s="1"/>
      <c r="R913" s="1"/>
    </row>
    <row r="914" spans="1:18" x14ac:dyDescent="0.2">
      <c r="A914" s="15"/>
      <c r="B914" s="66"/>
      <c r="C914" s="1"/>
      <c r="D914" s="66"/>
      <c r="E914" s="1"/>
      <c r="F914" s="66"/>
      <c r="G914" s="66"/>
      <c r="H914" s="66"/>
      <c r="I914" s="66"/>
      <c r="J914" s="1"/>
      <c r="K914" s="1"/>
      <c r="L914" s="1"/>
      <c r="M914" s="1"/>
      <c r="N914" s="9"/>
      <c r="O914" s="9"/>
      <c r="P914" s="9"/>
      <c r="Q914" s="1"/>
      <c r="R914" s="1"/>
    </row>
    <row r="915" spans="1:18" x14ac:dyDescent="0.2">
      <c r="A915" s="15"/>
      <c r="B915" s="66"/>
      <c r="C915" s="1"/>
      <c r="D915" s="66"/>
      <c r="E915" s="1"/>
      <c r="F915" s="66"/>
      <c r="G915" s="66"/>
      <c r="H915" s="66"/>
      <c r="I915" s="66"/>
      <c r="J915" s="1"/>
      <c r="K915" s="1"/>
      <c r="L915" s="1"/>
      <c r="M915" s="1"/>
      <c r="N915" s="9"/>
      <c r="O915" s="9"/>
      <c r="P915" s="9"/>
      <c r="Q915" s="1"/>
      <c r="R915" s="1"/>
    </row>
    <row r="916" spans="1:18" x14ac:dyDescent="0.2">
      <c r="A916" s="15"/>
      <c r="B916" s="66"/>
      <c r="C916" s="1"/>
      <c r="D916" s="66"/>
      <c r="E916" s="1"/>
      <c r="F916" s="66"/>
      <c r="G916" s="66"/>
      <c r="H916" s="66"/>
      <c r="I916" s="66"/>
      <c r="J916" s="1"/>
      <c r="K916" s="1"/>
      <c r="L916" s="1"/>
      <c r="M916" s="1"/>
      <c r="N916" s="9"/>
      <c r="O916" s="9"/>
      <c r="P916" s="9"/>
      <c r="Q916" s="1"/>
      <c r="R916" s="1"/>
    </row>
    <row r="917" spans="1:18" x14ac:dyDescent="0.2">
      <c r="A917" s="15"/>
      <c r="B917" s="66"/>
      <c r="C917" s="1"/>
      <c r="D917" s="66"/>
      <c r="E917" s="1"/>
      <c r="F917" s="66"/>
      <c r="G917" s="66"/>
      <c r="H917" s="66"/>
      <c r="I917" s="66"/>
      <c r="J917" s="1"/>
      <c r="K917" s="1"/>
      <c r="L917" s="1"/>
      <c r="M917" s="1"/>
      <c r="N917" s="9"/>
      <c r="O917" s="9"/>
      <c r="P917" s="9"/>
      <c r="Q917" s="1"/>
      <c r="R917" s="1"/>
    </row>
    <row r="918" spans="1:18" x14ac:dyDescent="0.2">
      <c r="A918" s="15"/>
      <c r="B918" s="66"/>
      <c r="C918" s="1"/>
      <c r="D918" s="66"/>
      <c r="E918" s="1"/>
      <c r="F918" s="66"/>
      <c r="G918" s="66"/>
      <c r="H918" s="66"/>
      <c r="I918" s="66"/>
      <c r="J918" s="1"/>
      <c r="K918" s="1"/>
      <c r="L918" s="1"/>
      <c r="M918" s="1"/>
      <c r="N918" s="9"/>
      <c r="O918" s="9"/>
      <c r="P918" s="9"/>
      <c r="Q918" s="1"/>
      <c r="R918" s="1"/>
    </row>
    <row r="919" spans="1:18" x14ac:dyDescent="0.2">
      <c r="A919" s="15"/>
      <c r="B919" s="66"/>
      <c r="C919" s="1"/>
      <c r="D919" s="66"/>
      <c r="E919" s="1"/>
      <c r="F919" s="66"/>
      <c r="G919" s="66"/>
      <c r="H919" s="66"/>
      <c r="I919" s="66"/>
      <c r="J919" s="1"/>
      <c r="K919" s="1"/>
      <c r="L919" s="1"/>
      <c r="M919" s="1"/>
      <c r="N919" s="9"/>
      <c r="O919" s="9"/>
      <c r="P919" s="9"/>
      <c r="Q919" s="1"/>
      <c r="R919" s="1"/>
    </row>
    <row r="920" spans="1:18" x14ac:dyDescent="0.2">
      <c r="A920" s="15"/>
      <c r="B920" s="66"/>
      <c r="C920" s="1"/>
      <c r="D920" s="66"/>
      <c r="E920" s="1"/>
      <c r="F920" s="66"/>
      <c r="G920" s="66"/>
      <c r="H920" s="66"/>
      <c r="I920" s="66"/>
      <c r="J920" s="1"/>
      <c r="K920" s="1"/>
      <c r="L920" s="1"/>
      <c r="M920" s="1"/>
      <c r="N920" s="9"/>
      <c r="O920" s="9"/>
      <c r="P920" s="9"/>
      <c r="Q920" s="1"/>
      <c r="R920" s="1"/>
    </row>
    <row r="921" spans="1:18" x14ac:dyDescent="0.2">
      <c r="A921" s="15"/>
      <c r="B921" s="66"/>
      <c r="C921" s="1"/>
      <c r="D921" s="66"/>
      <c r="E921" s="1"/>
      <c r="F921" s="66"/>
      <c r="G921" s="66"/>
      <c r="H921" s="66"/>
      <c r="I921" s="66"/>
      <c r="J921" s="1"/>
      <c r="K921" s="1"/>
      <c r="L921" s="1"/>
      <c r="M921" s="1"/>
      <c r="N921" s="9"/>
      <c r="O921" s="9"/>
      <c r="P921" s="9"/>
      <c r="Q921" s="1"/>
      <c r="R921" s="1"/>
    </row>
    <row r="922" spans="1:18" x14ac:dyDescent="0.2">
      <c r="A922" s="15"/>
      <c r="B922" s="66"/>
      <c r="C922" s="1"/>
      <c r="D922" s="66"/>
      <c r="E922" s="1"/>
      <c r="F922" s="66"/>
      <c r="G922" s="66"/>
      <c r="H922" s="66"/>
      <c r="I922" s="66"/>
      <c r="J922" s="1"/>
      <c r="K922" s="1"/>
      <c r="L922" s="1"/>
      <c r="M922" s="1"/>
      <c r="N922" s="9"/>
      <c r="O922" s="9"/>
      <c r="P922" s="9"/>
      <c r="Q922" s="1"/>
      <c r="R922" s="1"/>
    </row>
    <row r="923" spans="1:18" x14ac:dyDescent="0.2">
      <c r="A923" s="15"/>
      <c r="B923" s="66"/>
      <c r="C923" s="1"/>
      <c r="D923" s="66"/>
      <c r="E923" s="1"/>
      <c r="F923" s="66"/>
      <c r="G923" s="66"/>
      <c r="H923" s="66"/>
      <c r="I923" s="66"/>
      <c r="J923" s="1"/>
      <c r="K923" s="1"/>
      <c r="L923" s="1"/>
      <c r="M923" s="1"/>
      <c r="N923" s="9"/>
      <c r="O923" s="9"/>
      <c r="P923" s="9"/>
      <c r="Q923" s="1"/>
      <c r="R923" s="1"/>
    </row>
    <row r="924" spans="1:18" x14ac:dyDescent="0.2">
      <c r="A924" s="15"/>
      <c r="B924" s="66"/>
      <c r="C924" s="1"/>
      <c r="D924" s="66"/>
      <c r="E924" s="1"/>
      <c r="F924" s="66"/>
      <c r="G924" s="66"/>
      <c r="H924" s="66"/>
      <c r="I924" s="66"/>
      <c r="J924" s="1"/>
      <c r="K924" s="1"/>
      <c r="L924" s="1"/>
      <c r="M924" s="1"/>
      <c r="N924" s="9"/>
      <c r="O924" s="9"/>
      <c r="P924" s="9"/>
      <c r="Q924" s="1"/>
      <c r="R924" s="1"/>
    </row>
    <row r="925" spans="1:18" x14ac:dyDescent="0.2">
      <c r="A925" s="15"/>
      <c r="B925" s="66"/>
      <c r="C925" s="1"/>
      <c r="D925" s="66"/>
      <c r="E925" s="1"/>
      <c r="F925" s="66"/>
      <c r="G925" s="66"/>
      <c r="H925" s="66"/>
      <c r="I925" s="66"/>
      <c r="J925" s="1"/>
      <c r="K925" s="1"/>
      <c r="L925" s="1"/>
      <c r="M925" s="1"/>
      <c r="N925" s="9"/>
      <c r="O925" s="9"/>
      <c r="P925" s="9"/>
      <c r="Q925" s="1"/>
      <c r="R925" s="1"/>
    </row>
    <row r="926" spans="1:18" x14ac:dyDescent="0.2">
      <c r="A926" s="15"/>
      <c r="B926" s="66"/>
      <c r="C926" s="1"/>
      <c r="D926" s="66"/>
      <c r="E926" s="1"/>
      <c r="F926" s="66"/>
      <c r="G926" s="66"/>
      <c r="H926" s="66"/>
      <c r="I926" s="66"/>
      <c r="J926" s="1"/>
      <c r="K926" s="1"/>
      <c r="L926" s="1"/>
      <c r="M926" s="1"/>
      <c r="N926" s="9"/>
      <c r="O926" s="9"/>
      <c r="P926" s="9"/>
      <c r="Q926" s="1"/>
      <c r="R926" s="1"/>
    </row>
    <row r="927" spans="1:18" x14ac:dyDescent="0.2">
      <c r="A927" s="15"/>
      <c r="B927" s="66"/>
      <c r="C927" s="1"/>
      <c r="D927" s="66"/>
      <c r="E927" s="1"/>
      <c r="F927" s="66"/>
      <c r="G927" s="66"/>
      <c r="H927" s="66"/>
      <c r="I927" s="66"/>
      <c r="J927" s="1"/>
      <c r="K927" s="1"/>
      <c r="L927" s="1"/>
      <c r="M927" s="1"/>
      <c r="N927" s="9"/>
      <c r="O927" s="9"/>
      <c r="P927" s="9"/>
      <c r="Q927" s="1"/>
      <c r="R927" s="1"/>
    </row>
    <row r="928" spans="1:18" x14ac:dyDescent="0.2">
      <c r="A928" s="15"/>
      <c r="B928" s="66"/>
      <c r="C928" s="1"/>
      <c r="D928" s="66"/>
      <c r="E928" s="1"/>
      <c r="F928" s="66"/>
      <c r="G928" s="66"/>
      <c r="H928" s="66"/>
      <c r="I928" s="66"/>
      <c r="J928" s="1"/>
      <c r="K928" s="1"/>
      <c r="L928" s="1"/>
      <c r="M928" s="1"/>
      <c r="N928" s="9"/>
      <c r="O928" s="9"/>
      <c r="P928" s="9"/>
      <c r="Q928" s="1"/>
      <c r="R928" s="1"/>
    </row>
    <row r="929" spans="1:18" x14ac:dyDescent="0.2">
      <c r="A929" s="15"/>
      <c r="B929" s="66"/>
      <c r="C929" s="1"/>
      <c r="D929" s="66"/>
      <c r="E929" s="1"/>
      <c r="F929" s="66"/>
      <c r="G929" s="66"/>
      <c r="H929" s="66"/>
      <c r="I929" s="66"/>
      <c r="J929" s="1"/>
      <c r="K929" s="1"/>
      <c r="L929" s="1"/>
      <c r="M929" s="1"/>
      <c r="N929" s="9"/>
      <c r="O929" s="9"/>
      <c r="P929" s="9"/>
      <c r="Q929" s="1"/>
      <c r="R929" s="1"/>
    </row>
    <row r="930" spans="1:18" x14ac:dyDescent="0.2">
      <c r="A930" s="15"/>
      <c r="B930" s="66"/>
      <c r="C930" s="1"/>
      <c r="D930" s="66"/>
      <c r="E930" s="1"/>
      <c r="F930" s="66"/>
      <c r="G930" s="66"/>
      <c r="H930" s="66"/>
      <c r="I930" s="66"/>
      <c r="J930" s="1"/>
      <c r="K930" s="1"/>
      <c r="L930" s="1"/>
      <c r="M930" s="1"/>
      <c r="N930" s="9"/>
      <c r="O930" s="9"/>
      <c r="P930" s="9"/>
      <c r="Q930" s="1"/>
      <c r="R930" s="1"/>
    </row>
    <row r="931" spans="1:18" x14ac:dyDescent="0.2">
      <c r="A931" s="15"/>
      <c r="B931" s="66"/>
      <c r="C931" s="1"/>
      <c r="D931" s="66"/>
      <c r="E931" s="1"/>
      <c r="F931" s="66"/>
      <c r="G931" s="66"/>
      <c r="H931" s="66"/>
      <c r="I931" s="66"/>
      <c r="J931" s="1"/>
      <c r="K931" s="1"/>
      <c r="L931" s="1"/>
      <c r="M931" s="1"/>
      <c r="N931" s="9"/>
      <c r="O931" s="9"/>
      <c r="P931" s="9"/>
      <c r="Q931" s="1"/>
      <c r="R931" s="1"/>
    </row>
    <row r="932" spans="1:18" x14ac:dyDescent="0.2">
      <c r="A932" s="15"/>
      <c r="B932" s="66"/>
      <c r="C932" s="1"/>
      <c r="D932" s="66"/>
      <c r="E932" s="1"/>
      <c r="F932" s="66"/>
      <c r="G932" s="66"/>
      <c r="H932" s="66"/>
      <c r="I932" s="66"/>
      <c r="J932" s="1"/>
      <c r="K932" s="1"/>
      <c r="L932" s="1"/>
      <c r="M932" s="1"/>
      <c r="N932" s="9"/>
      <c r="O932" s="9"/>
      <c r="P932" s="9"/>
      <c r="Q932" s="1"/>
      <c r="R932" s="1"/>
    </row>
    <row r="933" spans="1:18" x14ac:dyDescent="0.2">
      <c r="A933" s="15"/>
      <c r="B933" s="66"/>
      <c r="C933" s="1"/>
      <c r="D933" s="66"/>
      <c r="E933" s="1"/>
      <c r="F933" s="66"/>
      <c r="G933" s="66"/>
      <c r="H933" s="66"/>
      <c r="I933" s="66"/>
      <c r="J933" s="1"/>
      <c r="K933" s="1"/>
      <c r="L933" s="1"/>
      <c r="M933" s="1"/>
      <c r="N933" s="9"/>
      <c r="O933" s="9"/>
      <c r="P933" s="9"/>
      <c r="Q933" s="1"/>
      <c r="R933" s="1"/>
    </row>
    <row r="934" spans="1:18" x14ac:dyDescent="0.2">
      <c r="A934" s="15"/>
      <c r="B934" s="66"/>
      <c r="C934" s="1"/>
      <c r="D934" s="66"/>
      <c r="E934" s="1"/>
      <c r="F934" s="66"/>
      <c r="G934" s="66"/>
      <c r="H934" s="66"/>
      <c r="I934" s="66"/>
      <c r="J934" s="1"/>
      <c r="K934" s="1"/>
      <c r="L934" s="1"/>
      <c r="M934" s="1"/>
      <c r="N934" s="9"/>
      <c r="O934" s="9"/>
      <c r="P934" s="9"/>
      <c r="Q934" s="1"/>
      <c r="R934" s="1"/>
    </row>
    <row r="935" spans="1:18" x14ac:dyDescent="0.2">
      <c r="A935" s="15"/>
      <c r="B935" s="66"/>
      <c r="C935" s="1"/>
      <c r="D935" s="66"/>
      <c r="E935" s="1"/>
      <c r="F935" s="66"/>
      <c r="G935" s="66"/>
      <c r="H935" s="66"/>
      <c r="I935" s="66"/>
      <c r="J935" s="1"/>
      <c r="K935" s="1"/>
      <c r="L935" s="1"/>
      <c r="M935" s="1"/>
      <c r="N935" s="9"/>
      <c r="O935" s="9"/>
      <c r="P935" s="9"/>
      <c r="Q935" s="1"/>
      <c r="R935" s="1"/>
    </row>
    <row r="936" spans="1:18" x14ac:dyDescent="0.2">
      <c r="A936" s="15"/>
      <c r="B936" s="66"/>
      <c r="C936" s="1"/>
      <c r="D936" s="66"/>
      <c r="E936" s="1"/>
      <c r="F936" s="66"/>
      <c r="G936" s="66"/>
      <c r="H936" s="66"/>
      <c r="I936" s="66"/>
      <c r="J936" s="1"/>
      <c r="K936" s="1"/>
      <c r="L936" s="1"/>
      <c r="M936" s="1"/>
      <c r="N936" s="9"/>
      <c r="O936" s="9"/>
      <c r="P936" s="9"/>
      <c r="Q936" s="1"/>
      <c r="R936" s="1"/>
    </row>
    <row r="937" spans="1:18" x14ac:dyDescent="0.2">
      <c r="A937" s="15"/>
      <c r="B937" s="66"/>
      <c r="C937" s="1"/>
      <c r="D937" s="66"/>
      <c r="E937" s="1"/>
      <c r="F937" s="66"/>
      <c r="G937" s="66"/>
      <c r="H937" s="66"/>
      <c r="I937" s="66"/>
      <c r="J937" s="1"/>
      <c r="K937" s="1"/>
      <c r="L937" s="1"/>
      <c r="M937" s="1"/>
      <c r="N937" s="9"/>
      <c r="O937" s="9"/>
      <c r="P937" s="9"/>
      <c r="Q937" s="1"/>
      <c r="R937" s="1"/>
    </row>
    <row r="938" spans="1:18" x14ac:dyDescent="0.2">
      <c r="A938" s="15"/>
      <c r="B938" s="66"/>
      <c r="C938" s="1"/>
      <c r="D938" s="66"/>
      <c r="E938" s="1"/>
      <c r="F938" s="66"/>
      <c r="G938" s="66"/>
      <c r="H938" s="66"/>
      <c r="I938" s="66"/>
      <c r="J938" s="1"/>
      <c r="K938" s="1"/>
      <c r="L938" s="1"/>
      <c r="M938" s="1"/>
      <c r="N938" s="9"/>
      <c r="O938" s="9"/>
      <c r="P938" s="9"/>
      <c r="Q938" s="1"/>
      <c r="R938" s="1"/>
    </row>
    <row r="939" spans="1:18" x14ac:dyDescent="0.2">
      <c r="A939" s="15"/>
      <c r="B939" s="66"/>
      <c r="C939" s="1"/>
      <c r="D939" s="66"/>
      <c r="E939" s="1"/>
      <c r="F939" s="66"/>
      <c r="G939" s="66"/>
      <c r="H939" s="66"/>
      <c r="I939" s="66"/>
      <c r="J939" s="1"/>
      <c r="K939" s="1"/>
      <c r="L939" s="1"/>
      <c r="M939" s="1"/>
      <c r="N939" s="9"/>
      <c r="O939" s="9"/>
      <c r="P939" s="9"/>
      <c r="Q939" s="1"/>
      <c r="R939" s="1"/>
    </row>
    <row r="940" spans="1:18" x14ac:dyDescent="0.2">
      <c r="A940" s="15"/>
      <c r="B940" s="66"/>
      <c r="C940" s="1"/>
      <c r="D940" s="66"/>
      <c r="E940" s="1"/>
      <c r="F940" s="66"/>
      <c r="G940" s="66"/>
      <c r="H940" s="66"/>
      <c r="I940" s="66"/>
      <c r="J940" s="1"/>
      <c r="K940" s="1"/>
      <c r="L940" s="1"/>
      <c r="M940" s="1"/>
      <c r="N940" s="9"/>
      <c r="O940" s="9"/>
      <c r="P940" s="9"/>
      <c r="Q940" s="1"/>
      <c r="R940" s="1"/>
    </row>
    <row r="941" spans="1:18" x14ac:dyDescent="0.2">
      <c r="A941" s="15"/>
      <c r="B941" s="66"/>
      <c r="C941" s="1"/>
      <c r="D941" s="66"/>
      <c r="E941" s="1"/>
      <c r="F941" s="66"/>
      <c r="G941" s="66"/>
      <c r="H941" s="66"/>
      <c r="I941" s="66"/>
      <c r="J941" s="1"/>
      <c r="K941" s="1"/>
      <c r="L941" s="1"/>
      <c r="M941" s="1"/>
      <c r="N941" s="9"/>
      <c r="O941" s="9"/>
      <c r="P941" s="9"/>
      <c r="Q941" s="1"/>
      <c r="R941" s="1"/>
    </row>
    <row r="942" spans="1:18" x14ac:dyDescent="0.2">
      <c r="A942" s="15"/>
      <c r="B942" s="66"/>
      <c r="C942" s="1"/>
      <c r="D942" s="66"/>
      <c r="E942" s="1"/>
      <c r="F942" s="66"/>
      <c r="G942" s="66"/>
      <c r="H942" s="66"/>
      <c r="I942" s="66"/>
      <c r="J942" s="1"/>
      <c r="K942" s="1"/>
      <c r="L942" s="1"/>
      <c r="M942" s="1"/>
      <c r="N942" s="9"/>
      <c r="O942" s="9"/>
      <c r="P942" s="9"/>
      <c r="Q942" s="1"/>
      <c r="R942" s="1"/>
    </row>
    <row r="943" spans="1:18" x14ac:dyDescent="0.2">
      <c r="A943" s="15"/>
      <c r="B943" s="66"/>
      <c r="C943" s="1"/>
      <c r="D943" s="66"/>
      <c r="E943" s="1"/>
      <c r="F943" s="66"/>
      <c r="G943" s="66"/>
      <c r="H943" s="66"/>
      <c r="I943" s="66"/>
      <c r="J943" s="1"/>
      <c r="K943" s="1"/>
      <c r="L943" s="1"/>
      <c r="M943" s="1"/>
      <c r="N943" s="9"/>
      <c r="O943" s="9"/>
      <c r="P943" s="9"/>
      <c r="Q943" s="1"/>
      <c r="R943" s="1"/>
    </row>
    <row r="944" spans="1:18" x14ac:dyDescent="0.2">
      <c r="A944" s="15"/>
      <c r="B944" s="66"/>
      <c r="C944" s="1"/>
      <c r="D944" s="66"/>
      <c r="E944" s="1"/>
      <c r="F944" s="66"/>
      <c r="G944" s="66"/>
      <c r="H944" s="66"/>
      <c r="I944" s="66"/>
      <c r="J944" s="1"/>
      <c r="K944" s="1"/>
      <c r="L944" s="1"/>
      <c r="M944" s="1"/>
      <c r="N944" s="9"/>
      <c r="O944" s="9"/>
      <c r="P944" s="9"/>
      <c r="Q944" s="1"/>
      <c r="R944" s="1"/>
    </row>
    <row r="945" spans="1:18" x14ac:dyDescent="0.2">
      <c r="A945" s="15"/>
      <c r="B945" s="66"/>
      <c r="C945" s="1"/>
      <c r="D945" s="66"/>
      <c r="E945" s="1"/>
      <c r="F945" s="66"/>
      <c r="G945" s="66"/>
      <c r="H945" s="66"/>
      <c r="I945" s="66"/>
      <c r="J945" s="1"/>
      <c r="K945" s="1"/>
      <c r="L945" s="1"/>
      <c r="M945" s="1"/>
      <c r="N945" s="9"/>
      <c r="O945" s="9"/>
      <c r="P945" s="9"/>
      <c r="Q945" s="1"/>
      <c r="R945" s="1"/>
    </row>
    <row r="946" spans="1:18" x14ac:dyDescent="0.2">
      <c r="A946" s="15"/>
      <c r="B946" s="66"/>
      <c r="C946" s="1"/>
      <c r="D946" s="66"/>
      <c r="E946" s="1"/>
      <c r="F946" s="66"/>
      <c r="G946" s="66"/>
      <c r="H946" s="66"/>
      <c r="I946" s="66"/>
      <c r="J946" s="1"/>
      <c r="K946" s="1"/>
      <c r="L946" s="1"/>
      <c r="M946" s="1"/>
      <c r="N946" s="9"/>
      <c r="O946" s="9"/>
      <c r="P946" s="9"/>
      <c r="Q946" s="1"/>
      <c r="R946" s="1"/>
    </row>
    <row r="947" spans="1:18" x14ac:dyDescent="0.2">
      <c r="A947" s="15"/>
      <c r="B947" s="66"/>
      <c r="C947" s="1"/>
      <c r="D947" s="66"/>
      <c r="E947" s="1"/>
      <c r="F947" s="66"/>
      <c r="G947" s="66"/>
      <c r="H947" s="66"/>
      <c r="I947" s="66"/>
      <c r="J947" s="1"/>
      <c r="K947" s="1"/>
      <c r="L947" s="1"/>
      <c r="M947" s="1"/>
      <c r="N947" s="9"/>
      <c r="O947" s="9"/>
      <c r="P947" s="9"/>
      <c r="Q947" s="1"/>
      <c r="R947" s="1"/>
    </row>
    <row r="948" spans="1:18" x14ac:dyDescent="0.2">
      <c r="A948" s="15"/>
      <c r="B948" s="66"/>
      <c r="C948" s="1"/>
      <c r="D948" s="66"/>
      <c r="E948" s="1"/>
      <c r="F948" s="66"/>
      <c r="G948" s="66"/>
      <c r="H948" s="66"/>
      <c r="I948" s="66"/>
      <c r="J948" s="1"/>
      <c r="K948" s="1"/>
      <c r="L948" s="1"/>
      <c r="M948" s="1"/>
      <c r="N948" s="9"/>
      <c r="O948" s="9"/>
      <c r="P948" s="9"/>
      <c r="Q948" s="1"/>
      <c r="R948" s="1"/>
    </row>
    <row r="949" spans="1:18" x14ac:dyDescent="0.2">
      <c r="A949" s="15"/>
      <c r="B949" s="66"/>
      <c r="C949" s="1"/>
      <c r="D949" s="66"/>
      <c r="E949" s="1"/>
      <c r="F949" s="66"/>
      <c r="G949" s="66"/>
      <c r="H949" s="66"/>
      <c r="I949" s="66"/>
      <c r="J949" s="1"/>
      <c r="K949" s="1"/>
      <c r="L949" s="1"/>
      <c r="M949" s="1"/>
      <c r="N949" s="9"/>
      <c r="O949" s="9"/>
      <c r="P949" s="9"/>
      <c r="Q949" s="1"/>
      <c r="R949" s="1"/>
    </row>
    <row r="950" spans="1:18" x14ac:dyDescent="0.2">
      <c r="A950" s="15"/>
      <c r="B950" s="66"/>
      <c r="C950" s="1"/>
      <c r="D950" s="66"/>
      <c r="E950" s="1"/>
      <c r="F950" s="66"/>
      <c r="G950" s="66"/>
      <c r="H950" s="66"/>
      <c r="I950" s="66"/>
      <c r="J950" s="1"/>
      <c r="K950" s="1"/>
      <c r="L950" s="1"/>
      <c r="M950" s="1"/>
      <c r="N950" s="9"/>
      <c r="O950" s="9"/>
      <c r="P950" s="9"/>
      <c r="Q950" s="1"/>
      <c r="R950" s="1"/>
    </row>
    <row r="951" spans="1:18" x14ac:dyDescent="0.2">
      <c r="A951" s="15"/>
      <c r="B951" s="66"/>
      <c r="C951" s="1"/>
      <c r="D951" s="66"/>
      <c r="E951" s="1"/>
      <c r="F951" s="66"/>
      <c r="G951" s="66"/>
      <c r="H951" s="66"/>
      <c r="I951" s="66"/>
      <c r="J951" s="1"/>
      <c r="K951" s="1"/>
      <c r="L951" s="1"/>
      <c r="M951" s="1"/>
      <c r="N951" s="9"/>
      <c r="O951" s="9"/>
      <c r="P951" s="9"/>
      <c r="Q951" s="1"/>
      <c r="R951" s="1"/>
    </row>
    <row r="952" spans="1:18" x14ac:dyDescent="0.2">
      <c r="A952" s="15"/>
      <c r="B952" s="66"/>
      <c r="C952" s="1"/>
      <c r="D952" s="66"/>
      <c r="E952" s="1"/>
      <c r="F952" s="66"/>
      <c r="G952" s="66"/>
      <c r="H952" s="66"/>
      <c r="I952" s="66"/>
      <c r="J952" s="1"/>
      <c r="K952" s="1"/>
      <c r="L952" s="1"/>
      <c r="M952" s="1"/>
      <c r="N952" s="9"/>
      <c r="O952" s="9"/>
      <c r="P952" s="9"/>
      <c r="Q952" s="1"/>
      <c r="R952" s="1"/>
    </row>
    <row r="953" spans="1:18" x14ac:dyDescent="0.2">
      <c r="A953" s="15"/>
      <c r="B953" s="66"/>
      <c r="C953" s="1"/>
      <c r="D953" s="66"/>
      <c r="E953" s="1"/>
      <c r="F953" s="66"/>
      <c r="G953" s="66"/>
      <c r="H953" s="66"/>
      <c r="I953" s="66"/>
      <c r="J953" s="1"/>
      <c r="K953" s="1"/>
      <c r="L953" s="1"/>
      <c r="M953" s="1"/>
      <c r="N953" s="9"/>
      <c r="O953" s="9"/>
      <c r="P953" s="9"/>
      <c r="Q953" s="1"/>
      <c r="R953" s="1"/>
    </row>
    <row r="954" spans="1:18" x14ac:dyDescent="0.2">
      <c r="A954" s="15"/>
      <c r="B954" s="66"/>
      <c r="C954" s="1"/>
      <c r="D954" s="66"/>
      <c r="E954" s="1"/>
      <c r="F954" s="66"/>
      <c r="G954" s="66"/>
      <c r="H954" s="66"/>
      <c r="I954" s="66"/>
      <c r="J954" s="1"/>
      <c r="K954" s="1"/>
      <c r="L954" s="1"/>
      <c r="M954" s="1"/>
      <c r="N954" s="9"/>
      <c r="O954" s="9"/>
      <c r="P954" s="9"/>
      <c r="Q954" s="1"/>
      <c r="R954" s="1"/>
    </row>
    <row r="955" spans="1:18" x14ac:dyDescent="0.2">
      <c r="A955" s="15"/>
      <c r="B955" s="66"/>
      <c r="C955" s="1"/>
      <c r="D955" s="66"/>
      <c r="E955" s="1"/>
      <c r="F955" s="66"/>
      <c r="G955" s="66"/>
      <c r="H955" s="66"/>
      <c r="I955" s="66"/>
      <c r="J955" s="1"/>
      <c r="K955" s="1"/>
      <c r="L955" s="1"/>
      <c r="M955" s="1"/>
      <c r="N955" s="9"/>
      <c r="O955" s="9"/>
      <c r="P955" s="9"/>
      <c r="Q955" s="1"/>
      <c r="R955" s="1"/>
    </row>
    <row r="956" spans="1:18" x14ac:dyDescent="0.2">
      <c r="A956" s="15"/>
      <c r="B956" s="66"/>
      <c r="C956" s="1"/>
      <c r="D956" s="66"/>
      <c r="E956" s="1"/>
      <c r="F956" s="66"/>
      <c r="G956" s="66"/>
      <c r="H956" s="66"/>
      <c r="I956" s="66"/>
      <c r="J956" s="1"/>
      <c r="K956" s="1"/>
      <c r="L956" s="1"/>
      <c r="M956" s="1"/>
      <c r="N956" s="9"/>
      <c r="O956" s="9"/>
      <c r="P956" s="9"/>
      <c r="Q956" s="1"/>
      <c r="R956" s="1"/>
    </row>
    <row r="957" spans="1:18" x14ac:dyDescent="0.2">
      <c r="A957" s="15"/>
      <c r="B957" s="66"/>
      <c r="C957" s="1"/>
      <c r="D957" s="66"/>
      <c r="E957" s="1"/>
      <c r="F957" s="66"/>
      <c r="G957" s="66"/>
      <c r="H957" s="66"/>
      <c r="I957" s="66"/>
      <c r="J957" s="1"/>
      <c r="K957" s="1"/>
      <c r="L957" s="1"/>
      <c r="M957" s="1"/>
      <c r="N957" s="9"/>
      <c r="O957" s="9"/>
      <c r="P957" s="9"/>
      <c r="Q957" s="1"/>
      <c r="R957" s="1"/>
    </row>
    <row r="958" spans="1:18" x14ac:dyDescent="0.2">
      <c r="A958" s="15"/>
      <c r="B958" s="66"/>
      <c r="C958" s="1"/>
      <c r="D958" s="66"/>
      <c r="E958" s="1"/>
      <c r="F958" s="66"/>
      <c r="G958" s="66"/>
      <c r="H958" s="66"/>
      <c r="I958" s="66"/>
      <c r="J958" s="1"/>
      <c r="K958" s="1"/>
      <c r="L958" s="1"/>
      <c r="M958" s="1"/>
      <c r="N958" s="9"/>
      <c r="O958" s="9"/>
      <c r="P958" s="9"/>
      <c r="Q958" s="1"/>
      <c r="R958" s="1"/>
    </row>
    <row r="959" spans="1:18" x14ac:dyDescent="0.2">
      <c r="A959" s="15"/>
      <c r="B959" s="66"/>
      <c r="C959" s="1"/>
      <c r="D959" s="66"/>
      <c r="E959" s="1"/>
      <c r="F959" s="66"/>
      <c r="G959" s="66"/>
      <c r="H959" s="66"/>
      <c r="I959" s="66"/>
      <c r="J959" s="1"/>
      <c r="K959" s="1"/>
      <c r="L959" s="1"/>
      <c r="M959" s="1"/>
      <c r="N959" s="9"/>
      <c r="O959" s="9"/>
      <c r="P959" s="9"/>
      <c r="Q959" s="1"/>
      <c r="R959" s="1"/>
    </row>
    <row r="960" spans="1:18" x14ac:dyDescent="0.2">
      <c r="A960" s="15"/>
      <c r="B960" s="66"/>
      <c r="C960" s="1"/>
      <c r="D960" s="66"/>
      <c r="E960" s="1"/>
      <c r="F960" s="66"/>
      <c r="G960" s="66"/>
      <c r="H960" s="66"/>
      <c r="I960" s="66"/>
      <c r="J960" s="1"/>
      <c r="K960" s="1"/>
      <c r="L960" s="1"/>
      <c r="M960" s="1"/>
      <c r="N960" s="9"/>
      <c r="O960" s="9"/>
      <c r="P960" s="9"/>
      <c r="Q960" s="1"/>
      <c r="R960" s="1"/>
    </row>
    <row r="961" spans="1:18" x14ac:dyDescent="0.2">
      <c r="A961" s="15"/>
      <c r="B961" s="66"/>
      <c r="C961" s="1"/>
      <c r="D961" s="66"/>
      <c r="E961" s="1"/>
      <c r="F961" s="66"/>
      <c r="G961" s="66"/>
      <c r="H961" s="66"/>
      <c r="I961" s="66"/>
      <c r="J961" s="1"/>
      <c r="K961" s="1"/>
      <c r="L961" s="1"/>
      <c r="M961" s="1"/>
      <c r="N961" s="9"/>
      <c r="O961" s="9"/>
      <c r="P961" s="9"/>
      <c r="Q961" s="1"/>
      <c r="R961" s="1"/>
    </row>
    <row r="962" spans="1:18" x14ac:dyDescent="0.2">
      <c r="A962" s="15"/>
      <c r="B962" s="66"/>
      <c r="C962" s="1"/>
      <c r="D962" s="66"/>
      <c r="E962" s="1"/>
      <c r="F962" s="66"/>
      <c r="G962" s="66"/>
      <c r="H962" s="66"/>
      <c r="I962" s="66"/>
      <c r="J962" s="1"/>
      <c r="K962" s="1"/>
      <c r="L962" s="1"/>
      <c r="M962" s="1"/>
      <c r="N962" s="9"/>
      <c r="O962" s="9"/>
      <c r="P962" s="9"/>
      <c r="Q962" s="1"/>
      <c r="R962" s="1"/>
    </row>
    <row r="963" spans="1:18" x14ac:dyDescent="0.2">
      <c r="A963" s="15"/>
      <c r="B963" s="66"/>
      <c r="C963" s="1"/>
      <c r="D963" s="66"/>
      <c r="E963" s="1"/>
      <c r="F963" s="66"/>
      <c r="G963" s="66"/>
      <c r="H963" s="66"/>
      <c r="I963" s="66"/>
      <c r="J963" s="1"/>
      <c r="K963" s="1"/>
      <c r="L963" s="1"/>
      <c r="M963" s="1"/>
      <c r="N963" s="9"/>
      <c r="O963" s="9"/>
      <c r="P963" s="9"/>
      <c r="Q963" s="1"/>
      <c r="R963" s="1"/>
    </row>
    <row r="964" spans="1:18" x14ac:dyDescent="0.2">
      <c r="A964" s="15"/>
      <c r="B964" s="66"/>
      <c r="C964" s="1"/>
      <c r="D964" s="66"/>
      <c r="E964" s="1"/>
      <c r="F964" s="66"/>
      <c r="G964" s="66"/>
      <c r="H964" s="66"/>
      <c r="I964" s="66"/>
      <c r="J964" s="1"/>
      <c r="K964" s="1"/>
      <c r="L964" s="1"/>
      <c r="M964" s="1"/>
      <c r="N964" s="9"/>
      <c r="O964" s="9"/>
      <c r="P964" s="9"/>
      <c r="Q964" s="1"/>
      <c r="R964" s="1"/>
    </row>
    <row r="965" spans="1:18" x14ac:dyDescent="0.2">
      <c r="A965" s="15"/>
      <c r="B965" s="66"/>
      <c r="C965" s="1"/>
      <c r="D965" s="66"/>
      <c r="E965" s="1"/>
      <c r="F965" s="66"/>
      <c r="G965" s="66"/>
      <c r="H965" s="66"/>
      <c r="I965" s="66"/>
      <c r="J965" s="1"/>
      <c r="K965" s="1"/>
      <c r="L965" s="1"/>
      <c r="M965" s="1"/>
      <c r="N965" s="9"/>
      <c r="O965" s="9"/>
      <c r="P965" s="9"/>
      <c r="Q965" s="1"/>
      <c r="R965" s="1"/>
    </row>
    <row r="966" spans="1:18" x14ac:dyDescent="0.2">
      <c r="A966" s="15"/>
      <c r="B966" s="66"/>
      <c r="C966" s="1"/>
      <c r="D966" s="66"/>
      <c r="E966" s="1"/>
      <c r="F966" s="66"/>
      <c r="G966" s="66"/>
      <c r="H966" s="66"/>
      <c r="I966" s="66"/>
      <c r="J966" s="1"/>
      <c r="K966" s="1"/>
      <c r="L966" s="1"/>
      <c r="M966" s="1"/>
      <c r="N966" s="9"/>
      <c r="O966" s="9"/>
      <c r="P966" s="9"/>
      <c r="Q966" s="1"/>
      <c r="R966" s="1"/>
    </row>
    <row r="967" spans="1:18" x14ac:dyDescent="0.2">
      <c r="A967" s="15"/>
      <c r="B967" s="66"/>
      <c r="C967" s="1"/>
      <c r="D967" s="66"/>
      <c r="E967" s="1"/>
      <c r="F967" s="66"/>
      <c r="G967" s="66"/>
      <c r="H967" s="66"/>
      <c r="I967" s="66"/>
      <c r="J967" s="1"/>
      <c r="K967" s="1"/>
      <c r="L967" s="1"/>
      <c r="M967" s="1"/>
      <c r="N967" s="9"/>
      <c r="O967" s="9"/>
      <c r="P967" s="9"/>
      <c r="Q967" s="1"/>
      <c r="R967" s="1"/>
    </row>
    <row r="968" spans="1:18" x14ac:dyDescent="0.2">
      <c r="A968" s="15"/>
      <c r="B968" s="66"/>
      <c r="C968" s="1"/>
      <c r="D968" s="66"/>
      <c r="E968" s="1"/>
      <c r="F968" s="66"/>
      <c r="G968" s="66"/>
      <c r="H968" s="66"/>
      <c r="I968" s="66"/>
      <c r="J968" s="1"/>
      <c r="K968" s="1"/>
      <c r="L968" s="1"/>
      <c r="M968" s="1"/>
      <c r="N968" s="9"/>
      <c r="O968" s="9"/>
      <c r="P968" s="9"/>
      <c r="Q968" s="1"/>
      <c r="R968" s="1"/>
    </row>
    <row r="969" spans="1:18" x14ac:dyDescent="0.2">
      <c r="A969" s="15"/>
      <c r="B969" s="66"/>
      <c r="C969" s="1"/>
      <c r="D969" s="66"/>
      <c r="E969" s="1"/>
      <c r="F969" s="66"/>
      <c r="G969" s="66"/>
      <c r="H969" s="66"/>
      <c r="I969" s="66"/>
      <c r="J969" s="1"/>
      <c r="K969" s="1"/>
      <c r="L969" s="1"/>
      <c r="M969" s="1"/>
      <c r="N969" s="9"/>
      <c r="O969" s="9"/>
      <c r="P969" s="9"/>
    </row>
  </sheetData>
  <autoFilter ref="A1:Y385">
    <sortState ref="A2:AI299">
      <sortCondition ref="A1"/>
    </sortState>
  </autoFilter>
  <phoneticPr fontId="5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0"/>
  <sheetViews>
    <sheetView workbookViewId="0"/>
  </sheetViews>
  <sheetFormatPr baseColWidth="10" defaultColWidth="12.5703125" defaultRowHeight="15" customHeight="1" x14ac:dyDescent="0.2"/>
  <cols>
    <col min="1" max="1" width="16.7109375" customWidth="1"/>
    <col min="2" max="2" width="129.42578125" customWidth="1"/>
    <col min="3" max="3" width="14.42578125" customWidth="1"/>
    <col min="4" max="4" width="69.42578125" customWidth="1"/>
    <col min="5" max="5" width="14.85546875" customWidth="1"/>
  </cols>
  <sheetData>
    <row r="1" spans="1:5" ht="15" customHeight="1" x14ac:dyDescent="0.25">
      <c r="A1" s="3" t="s">
        <v>29</v>
      </c>
      <c r="B1" s="4" t="s">
        <v>30</v>
      </c>
      <c r="C1" s="4" t="s">
        <v>31</v>
      </c>
      <c r="D1" s="4" t="s">
        <v>32</v>
      </c>
      <c r="E1" s="4" t="s">
        <v>33</v>
      </c>
    </row>
    <row r="2" spans="1:5" ht="12.75" x14ac:dyDescent="0.2">
      <c r="A2" s="5" t="s">
        <v>34</v>
      </c>
      <c r="B2" s="2" t="s">
        <v>35</v>
      </c>
      <c r="C2" s="6" t="s">
        <v>36</v>
      </c>
      <c r="D2" s="2" t="s">
        <v>37</v>
      </c>
      <c r="E2" s="2" t="s">
        <v>38</v>
      </c>
    </row>
    <row r="3" spans="1:5" ht="12.75" x14ac:dyDescent="0.2">
      <c r="A3" s="5" t="s">
        <v>39</v>
      </c>
      <c r="B3" s="2" t="s">
        <v>40</v>
      </c>
      <c r="C3" s="6" t="s">
        <v>36</v>
      </c>
      <c r="D3" s="2" t="s">
        <v>37</v>
      </c>
      <c r="E3" s="2" t="s">
        <v>38</v>
      </c>
    </row>
    <row r="4" spans="1:5" ht="12.75" x14ac:dyDescent="0.2">
      <c r="A4" s="5" t="s">
        <v>41</v>
      </c>
      <c r="B4" s="2" t="s">
        <v>42</v>
      </c>
      <c r="C4" s="6" t="s">
        <v>36</v>
      </c>
      <c r="D4" s="2" t="s">
        <v>37</v>
      </c>
      <c r="E4" s="2" t="s">
        <v>38</v>
      </c>
    </row>
    <row r="5" spans="1:5" ht="12.75" x14ac:dyDescent="0.2">
      <c r="A5" s="5" t="s">
        <v>43</v>
      </c>
      <c r="B5" s="2" t="s">
        <v>44</v>
      </c>
      <c r="C5" s="6" t="s">
        <v>45</v>
      </c>
      <c r="D5" s="2" t="s">
        <v>46</v>
      </c>
      <c r="E5" s="2" t="s">
        <v>38</v>
      </c>
    </row>
    <row r="6" spans="1:5" ht="12.75" x14ac:dyDescent="0.2">
      <c r="A6" s="5" t="s">
        <v>47</v>
      </c>
      <c r="B6" s="2" t="s">
        <v>48</v>
      </c>
      <c r="C6" s="6" t="s">
        <v>45</v>
      </c>
      <c r="D6" s="2" t="s">
        <v>46</v>
      </c>
      <c r="E6" s="2" t="s">
        <v>38</v>
      </c>
    </row>
    <row r="7" spans="1:5" ht="12.75" x14ac:dyDescent="0.2">
      <c r="A7" s="5" t="s">
        <v>49</v>
      </c>
      <c r="B7" s="2" t="s">
        <v>50</v>
      </c>
      <c r="C7" s="6" t="s">
        <v>45</v>
      </c>
      <c r="D7" s="2" t="s">
        <v>46</v>
      </c>
      <c r="E7" s="2" t="s">
        <v>38</v>
      </c>
    </row>
    <row r="8" spans="1:5" ht="12.75" x14ac:dyDescent="0.2">
      <c r="A8" s="5" t="s">
        <v>51</v>
      </c>
      <c r="B8" s="2" t="s">
        <v>52</v>
      </c>
      <c r="C8" s="6" t="s">
        <v>53</v>
      </c>
      <c r="D8" s="2" t="s">
        <v>54</v>
      </c>
      <c r="E8" s="2" t="s">
        <v>38</v>
      </c>
    </row>
    <row r="9" spans="1:5" ht="12.75" x14ac:dyDescent="0.2">
      <c r="A9" s="5" t="s">
        <v>55</v>
      </c>
      <c r="B9" s="2" t="s">
        <v>56</v>
      </c>
      <c r="C9" s="6" t="s">
        <v>57</v>
      </c>
      <c r="D9" s="2" t="s">
        <v>58</v>
      </c>
      <c r="E9" s="2" t="s">
        <v>38</v>
      </c>
    </row>
    <row r="10" spans="1:5" ht="12.75" x14ac:dyDescent="0.2">
      <c r="A10" s="5" t="s">
        <v>59</v>
      </c>
      <c r="B10" s="2" t="s">
        <v>60</v>
      </c>
      <c r="C10" s="6" t="s">
        <v>57</v>
      </c>
      <c r="D10" s="2" t="s">
        <v>58</v>
      </c>
      <c r="E10" s="2" t="s">
        <v>38</v>
      </c>
    </row>
    <row r="11" spans="1:5" ht="12.75" x14ac:dyDescent="0.2">
      <c r="A11" s="5" t="s">
        <v>61</v>
      </c>
      <c r="B11" s="2" t="s">
        <v>62</v>
      </c>
      <c r="C11" s="6" t="s">
        <v>63</v>
      </c>
      <c r="D11" s="2" t="s">
        <v>64</v>
      </c>
      <c r="E11" s="2" t="s">
        <v>38</v>
      </c>
    </row>
    <row r="12" spans="1:5" ht="12.75" x14ac:dyDescent="0.2">
      <c r="A12" s="5" t="s">
        <v>65</v>
      </c>
      <c r="B12" s="2" t="s">
        <v>66</v>
      </c>
      <c r="C12" s="6" t="s">
        <v>67</v>
      </c>
      <c r="D12" s="2" t="s">
        <v>68</v>
      </c>
      <c r="E12" s="2" t="s">
        <v>38</v>
      </c>
    </row>
    <row r="13" spans="1:5" ht="12.75" x14ac:dyDescent="0.2">
      <c r="A13" s="5" t="s">
        <v>69</v>
      </c>
      <c r="B13" s="2" t="s">
        <v>70</v>
      </c>
      <c r="C13" s="6" t="s">
        <v>71</v>
      </c>
      <c r="D13" s="2" t="s">
        <v>72</v>
      </c>
      <c r="E13" s="2" t="s">
        <v>38</v>
      </c>
    </row>
    <row r="14" spans="1:5" ht="12.75" x14ac:dyDescent="0.2">
      <c r="A14" s="5" t="s">
        <v>73</v>
      </c>
      <c r="B14" s="2" t="s">
        <v>74</v>
      </c>
      <c r="C14" s="6" t="s">
        <v>71</v>
      </c>
      <c r="D14" s="2" t="s">
        <v>72</v>
      </c>
      <c r="E14" s="2" t="s">
        <v>38</v>
      </c>
    </row>
    <row r="15" spans="1:5" ht="12.75" x14ac:dyDescent="0.2">
      <c r="A15" s="5" t="s">
        <v>75</v>
      </c>
      <c r="B15" s="2" t="s">
        <v>76</v>
      </c>
      <c r="C15" s="6" t="s">
        <v>71</v>
      </c>
      <c r="D15" s="2" t="s">
        <v>72</v>
      </c>
      <c r="E15" s="2" t="s">
        <v>38</v>
      </c>
    </row>
    <row r="16" spans="1:5" ht="12.75" x14ac:dyDescent="0.2">
      <c r="A16" s="5" t="s">
        <v>77</v>
      </c>
      <c r="B16" s="2" t="s">
        <v>78</v>
      </c>
      <c r="C16" s="6" t="s">
        <v>79</v>
      </c>
      <c r="D16" s="2" t="s">
        <v>80</v>
      </c>
      <c r="E16" s="2" t="s">
        <v>38</v>
      </c>
    </row>
    <row r="17" spans="1:5" ht="12.75" x14ac:dyDescent="0.2">
      <c r="A17" s="5" t="s">
        <v>81</v>
      </c>
      <c r="B17" s="2" t="s">
        <v>82</v>
      </c>
      <c r="C17" s="6" t="s">
        <v>83</v>
      </c>
      <c r="D17" s="2" t="s">
        <v>84</v>
      </c>
      <c r="E17" s="2" t="s">
        <v>38</v>
      </c>
    </row>
    <row r="18" spans="1:5" ht="12.75" x14ac:dyDescent="0.2">
      <c r="A18" s="5" t="s">
        <v>85</v>
      </c>
      <c r="B18" s="2" t="s">
        <v>86</v>
      </c>
      <c r="C18" s="6" t="s">
        <v>83</v>
      </c>
      <c r="D18" s="2" t="s">
        <v>84</v>
      </c>
      <c r="E18" s="2" t="s">
        <v>38</v>
      </c>
    </row>
    <row r="19" spans="1:5" ht="12.75" x14ac:dyDescent="0.2">
      <c r="A19" s="5" t="s">
        <v>87</v>
      </c>
      <c r="B19" s="2" t="s">
        <v>88</v>
      </c>
      <c r="C19" s="6" t="s">
        <v>83</v>
      </c>
      <c r="D19" s="2" t="s">
        <v>84</v>
      </c>
      <c r="E19" s="2" t="s">
        <v>38</v>
      </c>
    </row>
    <row r="20" spans="1:5" ht="12.75" x14ac:dyDescent="0.2">
      <c r="A20" s="5" t="s">
        <v>89</v>
      </c>
      <c r="B20" s="2" t="s">
        <v>90</v>
      </c>
      <c r="C20" s="6" t="s">
        <v>91</v>
      </c>
      <c r="D20" s="2" t="s">
        <v>92</v>
      </c>
      <c r="E20" s="2" t="s">
        <v>38</v>
      </c>
    </row>
    <row r="21" spans="1:5" ht="12.75" x14ac:dyDescent="0.2">
      <c r="A21" s="5" t="s">
        <v>93</v>
      </c>
      <c r="B21" s="2" t="s">
        <v>239</v>
      </c>
      <c r="C21" s="6" t="s">
        <v>17</v>
      </c>
      <c r="D21" s="2" t="s">
        <v>94</v>
      </c>
      <c r="E21" s="2" t="s">
        <v>95</v>
      </c>
    </row>
    <row r="22" spans="1:5" ht="12.75" x14ac:dyDescent="0.2">
      <c r="A22" s="5" t="s">
        <v>96</v>
      </c>
      <c r="B22" s="2" t="s">
        <v>240</v>
      </c>
      <c r="C22" s="6" t="s">
        <v>17</v>
      </c>
      <c r="D22" s="2" t="s">
        <v>94</v>
      </c>
      <c r="E22" s="2" t="s">
        <v>95</v>
      </c>
    </row>
    <row r="23" spans="1:5" ht="12.75" x14ac:dyDescent="0.2">
      <c r="A23" s="5" t="s">
        <v>97</v>
      </c>
      <c r="B23" s="2" t="s">
        <v>98</v>
      </c>
      <c r="C23" s="6" t="s">
        <v>17</v>
      </c>
      <c r="D23" s="2" t="s">
        <v>94</v>
      </c>
      <c r="E23" s="2" t="s">
        <v>95</v>
      </c>
    </row>
    <row r="24" spans="1:5" ht="12.75" x14ac:dyDescent="0.2">
      <c r="A24" s="5" t="s">
        <v>99</v>
      </c>
      <c r="B24" s="2" t="s">
        <v>100</v>
      </c>
      <c r="C24" s="6" t="s">
        <v>17</v>
      </c>
      <c r="D24" s="2" t="s">
        <v>94</v>
      </c>
      <c r="E24" s="2" t="s">
        <v>95</v>
      </c>
    </row>
    <row r="25" spans="1:5" ht="12.75" x14ac:dyDescent="0.2">
      <c r="A25" s="5" t="s">
        <v>101</v>
      </c>
      <c r="B25" s="2" t="s">
        <v>102</v>
      </c>
      <c r="C25" s="6" t="s">
        <v>17</v>
      </c>
      <c r="D25" s="2" t="s">
        <v>94</v>
      </c>
      <c r="E25" s="2" t="s">
        <v>95</v>
      </c>
    </row>
    <row r="26" spans="1:5" ht="12.75" x14ac:dyDescent="0.2">
      <c r="A26" s="5" t="s">
        <v>103</v>
      </c>
      <c r="B26" s="2" t="s">
        <v>104</v>
      </c>
      <c r="C26" s="6" t="s">
        <v>17</v>
      </c>
      <c r="D26" s="2" t="s">
        <v>94</v>
      </c>
      <c r="E26" s="2" t="s">
        <v>95</v>
      </c>
    </row>
    <row r="27" spans="1:5" ht="12.75" x14ac:dyDescent="0.2">
      <c r="A27" s="5" t="s">
        <v>105</v>
      </c>
      <c r="B27" s="2" t="s">
        <v>106</v>
      </c>
      <c r="C27" s="6" t="s">
        <v>17</v>
      </c>
      <c r="D27" s="2" t="s">
        <v>94</v>
      </c>
      <c r="E27" s="2" t="s">
        <v>95</v>
      </c>
    </row>
    <row r="28" spans="1:5" ht="12.75" x14ac:dyDescent="0.2">
      <c r="A28" s="5" t="s">
        <v>107</v>
      </c>
      <c r="B28" s="2" t="s">
        <v>108</v>
      </c>
      <c r="C28" s="6" t="s">
        <v>17</v>
      </c>
      <c r="D28" s="2" t="s">
        <v>94</v>
      </c>
      <c r="E28" s="2" t="s">
        <v>95</v>
      </c>
    </row>
    <row r="29" spans="1:5" ht="12.75" x14ac:dyDescent="0.2">
      <c r="A29" s="5" t="s">
        <v>109</v>
      </c>
      <c r="B29" s="2" t="s">
        <v>110</v>
      </c>
      <c r="C29" s="6" t="s">
        <v>17</v>
      </c>
      <c r="D29" s="2" t="s">
        <v>94</v>
      </c>
      <c r="E29" s="2" t="s">
        <v>95</v>
      </c>
    </row>
    <row r="30" spans="1:5" ht="12.75" x14ac:dyDescent="0.2">
      <c r="A30" s="5" t="s">
        <v>111</v>
      </c>
      <c r="B30" s="2" t="s">
        <v>112</v>
      </c>
      <c r="C30" s="6" t="s">
        <v>113</v>
      </c>
      <c r="D30" s="2" t="s">
        <v>114</v>
      </c>
      <c r="E30" s="2" t="s">
        <v>115</v>
      </c>
    </row>
    <row r="31" spans="1:5" ht="12.75" x14ac:dyDescent="0.2">
      <c r="A31" s="5" t="s">
        <v>116</v>
      </c>
      <c r="B31" s="2" t="s">
        <v>117</v>
      </c>
      <c r="C31" s="6" t="s">
        <v>113</v>
      </c>
      <c r="D31" s="2" t="s">
        <v>114</v>
      </c>
      <c r="E31" s="2" t="s">
        <v>115</v>
      </c>
    </row>
    <row r="32" spans="1:5" ht="12.75" x14ac:dyDescent="0.2">
      <c r="A32" s="5" t="s">
        <v>118</v>
      </c>
      <c r="B32" s="2" t="s">
        <v>119</v>
      </c>
      <c r="C32" s="6" t="s">
        <v>113</v>
      </c>
      <c r="D32" s="2" t="s">
        <v>114</v>
      </c>
      <c r="E32" s="2" t="s">
        <v>115</v>
      </c>
    </row>
    <row r="33" spans="1:5" ht="12.75" x14ac:dyDescent="0.2">
      <c r="A33" s="5" t="s">
        <v>16</v>
      </c>
      <c r="B33" s="2" t="s">
        <v>120</v>
      </c>
      <c r="C33" s="6" t="s">
        <v>18</v>
      </c>
      <c r="D33" s="2" t="s">
        <v>37</v>
      </c>
      <c r="E33" s="2" t="s">
        <v>121</v>
      </c>
    </row>
    <row r="34" spans="1:5" ht="12.75" x14ac:dyDescent="0.2">
      <c r="A34" s="5" t="s">
        <v>122</v>
      </c>
      <c r="B34" s="2" t="s">
        <v>123</v>
      </c>
      <c r="C34" s="6" t="s">
        <v>18</v>
      </c>
      <c r="D34" s="2" t="s">
        <v>37</v>
      </c>
      <c r="E34" s="2" t="s">
        <v>121</v>
      </c>
    </row>
    <row r="35" spans="1:5" ht="12.75" x14ac:dyDescent="0.2">
      <c r="A35" s="5" t="s">
        <v>124</v>
      </c>
      <c r="B35" s="2" t="s">
        <v>125</v>
      </c>
      <c r="C35" s="6" t="s">
        <v>18</v>
      </c>
      <c r="D35" s="2" t="s">
        <v>37</v>
      </c>
      <c r="E35" s="2" t="s">
        <v>121</v>
      </c>
    </row>
    <row r="36" spans="1:5" ht="12.75" x14ac:dyDescent="0.2">
      <c r="A36" s="5" t="s">
        <v>126</v>
      </c>
      <c r="B36" s="2" t="s">
        <v>127</v>
      </c>
      <c r="C36" s="6" t="s">
        <v>18</v>
      </c>
      <c r="D36" s="2" t="s">
        <v>37</v>
      </c>
      <c r="E36" s="2" t="s">
        <v>121</v>
      </c>
    </row>
    <row r="37" spans="1:5" ht="12.75" x14ac:dyDescent="0.2">
      <c r="A37" s="5" t="s">
        <v>128</v>
      </c>
      <c r="B37" s="2" t="s">
        <v>129</v>
      </c>
      <c r="C37" s="6" t="s">
        <v>18</v>
      </c>
      <c r="D37" s="2" t="s">
        <v>37</v>
      </c>
      <c r="E37" s="2" t="s">
        <v>121</v>
      </c>
    </row>
    <row r="38" spans="1:5" ht="12.75" x14ac:dyDescent="0.2">
      <c r="A38" s="5" t="s">
        <v>13</v>
      </c>
      <c r="B38" s="2" t="s">
        <v>130</v>
      </c>
      <c r="C38" s="6" t="s">
        <v>18</v>
      </c>
      <c r="D38" s="2" t="s">
        <v>37</v>
      </c>
      <c r="E38" s="2" t="s">
        <v>121</v>
      </c>
    </row>
    <row r="39" spans="1:5" ht="12.75" x14ac:dyDescent="0.2">
      <c r="A39" s="5" t="s">
        <v>131</v>
      </c>
      <c r="B39" s="2" t="s">
        <v>132</v>
      </c>
      <c r="C39" s="6" t="s">
        <v>18</v>
      </c>
      <c r="D39" s="2" t="s">
        <v>37</v>
      </c>
      <c r="E39" s="2" t="s">
        <v>121</v>
      </c>
    </row>
    <row r="40" spans="1:5" ht="12.75" x14ac:dyDescent="0.2">
      <c r="A40" s="5" t="s">
        <v>28</v>
      </c>
      <c r="B40" s="2" t="s">
        <v>133</v>
      </c>
      <c r="C40" s="6" t="s">
        <v>18</v>
      </c>
      <c r="D40" s="2" t="s">
        <v>37</v>
      </c>
      <c r="E40" s="2" t="s">
        <v>121</v>
      </c>
    </row>
    <row r="41" spans="1:5" ht="12.75" x14ac:dyDescent="0.2">
      <c r="A41" s="5" t="s">
        <v>134</v>
      </c>
      <c r="B41" s="2" t="s">
        <v>135</v>
      </c>
      <c r="C41" s="6" t="s">
        <v>22</v>
      </c>
      <c r="D41" s="2" t="s">
        <v>46</v>
      </c>
      <c r="E41" s="2" t="s">
        <v>121</v>
      </c>
    </row>
    <row r="42" spans="1:5" ht="12.75" x14ac:dyDescent="0.2">
      <c r="A42" s="5" t="s">
        <v>136</v>
      </c>
      <c r="B42" s="2" t="s">
        <v>137</v>
      </c>
      <c r="C42" s="6" t="s">
        <v>22</v>
      </c>
      <c r="D42" s="2" t="s">
        <v>46</v>
      </c>
      <c r="E42" s="2" t="s">
        <v>121</v>
      </c>
    </row>
    <row r="43" spans="1:5" ht="12.75" x14ac:dyDescent="0.2">
      <c r="A43" s="5" t="s">
        <v>138</v>
      </c>
      <c r="B43" s="2" t="s">
        <v>139</v>
      </c>
      <c r="C43" s="6" t="s">
        <v>22</v>
      </c>
      <c r="D43" s="2" t="s">
        <v>46</v>
      </c>
      <c r="E43" s="2" t="s">
        <v>121</v>
      </c>
    </row>
    <row r="44" spans="1:5" ht="12.75" x14ac:dyDescent="0.2">
      <c r="A44" s="5" t="s">
        <v>140</v>
      </c>
      <c r="B44" s="2" t="s">
        <v>141</v>
      </c>
      <c r="C44" s="6" t="s">
        <v>22</v>
      </c>
      <c r="D44" s="2" t="s">
        <v>46</v>
      </c>
      <c r="E44" s="2" t="s">
        <v>121</v>
      </c>
    </row>
    <row r="45" spans="1:5" ht="12.75" x14ac:dyDescent="0.2">
      <c r="A45" s="5" t="s">
        <v>142</v>
      </c>
      <c r="B45" s="2" t="s">
        <v>143</v>
      </c>
      <c r="C45" s="6" t="s">
        <v>22</v>
      </c>
      <c r="D45" s="2" t="s">
        <v>46</v>
      </c>
      <c r="E45" s="2" t="s">
        <v>121</v>
      </c>
    </row>
    <row r="46" spans="1:5" ht="12.75" x14ac:dyDescent="0.2">
      <c r="A46" s="5" t="s">
        <v>144</v>
      </c>
      <c r="B46" s="2" t="s">
        <v>145</v>
      </c>
      <c r="C46" s="6" t="s">
        <v>22</v>
      </c>
      <c r="D46" s="2" t="s">
        <v>46</v>
      </c>
      <c r="E46" s="2" t="s">
        <v>121</v>
      </c>
    </row>
    <row r="47" spans="1:5" ht="12.75" x14ac:dyDescent="0.2">
      <c r="A47" s="5" t="s">
        <v>146</v>
      </c>
      <c r="B47" s="2" t="s">
        <v>147</v>
      </c>
      <c r="C47" s="6" t="s">
        <v>22</v>
      </c>
      <c r="D47" s="2" t="s">
        <v>46</v>
      </c>
      <c r="E47" s="2" t="s">
        <v>121</v>
      </c>
    </row>
    <row r="48" spans="1:5" ht="12.75" x14ac:dyDescent="0.2">
      <c r="A48" s="5" t="s">
        <v>148</v>
      </c>
      <c r="B48" s="2" t="s">
        <v>149</v>
      </c>
      <c r="C48" s="6" t="s">
        <v>22</v>
      </c>
      <c r="D48" s="2" t="s">
        <v>46</v>
      </c>
      <c r="E48" s="2" t="s">
        <v>121</v>
      </c>
    </row>
    <row r="49" spans="1:5" ht="12.75" x14ac:dyDescent="0.2">
      <c r="A49" s="5" t="s">
        <v>150</v>
      </c>
      <c r="B49" s="2" t="s">
        <v>151</v>
      </c>
      <c r="C49" s="6" t="s">
        <v>152</v>
      </c>
      <c r="D49" s="2" t="s">
        <v>54</v>
      </c>
      <c r="E49" s="2" t="s">
        <v>121</v>
      </c>
    </row>
    <row r="50" spans="1:5" ht="12.75" x14ac:dyDescent="0.2">
      <c r="A50" s="5" t="s">
        <v>153</v>
      </c>
      <c r="B50" s="2" t="s">
        <v>154</v>
      </c>
      <c r="C50" s="6" t="s">
        <v>155</v>
      </c>
      <c r="D50" s="2" t="s">
        <v>58</v>
      </c>
      <c r="E50" s="2" t="s">
        <v>121</v>
      </c>
    </row>
    <row r="51" spans="1:5" ht="12.75" x14ac:dyDescent="0.2">
      <c r="A51" s="5" t="s">
        <v>156</v>
      </c>
      <c r="B51" s="2" t="s">
        <v>157</v>
      </c>
      <c r="C51" s="6" t="s">
        <v>155</v>
      </c>
      <c r="D51" s="2" t="s">
        <v>58</v>
      </c>
      <c r="E51" s="2" t="s">
        <v>121</v>
      </c>
    </row>
    <row r="52" spans="1:5" ht="12.75" x14ac:dyDescent="0.2">
      <c r="A52" s="5" t="s">
        <v>158</v>
      </c>
      <c r="B52" s="2" t="s">
        <v>159</v>
      </c>
      <c r="C52" s="6" t="s">
        <v>155</v>
      </c>
      <c r="D52" s="2" t="s">
        <v>58</v>
      </c>
      <c r="E52" s="2" t="s">
        <v>121</v>
      </c>
    </row>
    <row r="53" spans="1:5" ht="12.75" x14ac:dyDescent="0.2">
      <c r="A53" s="5" t="s">
        <v>160</v>
      </c>
      <c r="B53" s="2" t="s">
        <v>161</v>
      </c>
      <c r="C53" s="6" t="s">
        <v>162</v>
      </c>
      <c r="D53" s="2" t="s">
        <v>64</v>
      </c>
      <c r="E53" s="2" t="s">
        <v>121</v>
      </c>
    </row>
    <row r="54" spans="1:5" ht="12.75" x14ac:dyDescent="0.2">
      <c r="A54" s="5" t="s">
        <v>163</v>
      </c>
      <c r="B54" s="2" t="s">
        <v>164</v>
      </c>
      <c r="C54" s="6" t="s">
        <v>162</v>
      </c>
      <c r="D54" s="2" t="s">
        <v>64</v>
      </c>
      <c r="E54" s="2" t="s">
        <v>121</v>
      </c>
    </row>
    <row r="55" spans="1:5" ht="12.75" x14ac:dyDescent="0.2">
      <c r="A55" s="5" t="s">
        <v>165</v>
      </c>
      <c r="B55" s="2" t="s">
        <v>166</v>
      </c>
      <c r="C55" s="6" t="s">
        <v>26</v>
      </c>
      <c r="D55" s="2" t="s">
        <v>68</v>
      </c>
      <c r="E55" s="2" t="s">
        <v>121</v>
      </c>
    </row>
    <row r="56" spans="1:5" ht="12.75" x14ac:dyDescent="0.2">
      <c r="A56" s="5" t="s">
        <v>167</v>
      </c>
      <c r="B56" s="2" t="s">
        <v>168</v>
      </c>
      <c r="C56" s="6" t="s">
        <v>26</v>
      </c>
      <c r="D56" s="2" t="s">
        <v>68</v>
      </c>
      <c r="E56" s="2" t="s">
        <v>121</v>
      </c>
    </row>
    <row r="57" spans="1:5" ht="12.75" x14ac:dyDescent="0.2">
      <c r="A57" s="5" t="s">
        <v>169</v>
      </c>
      <c r="B57" s="2" t="s">
        <v>170</v>
      </c>
      <c r="C57" s="6" t="s">
        <v>26</v>
      </c>
      <c r="D57" s="2" t="s">
        <v>68</v>
      </c>
      <c r="E57" s="2" t="s">
        <v>121</v>
      </c>
    </row>
    <row r="58" spans="1:5" ht="12.75" x14ac:dyDescent="0.2">
      <c r="A58" s="5" t="s">
        <v>171</v>
      </c>
      <c r="B58" s="2" t="s">
        <v>172</v>
      </c>
      <c r="C58" s="6" t="s">
        <v>26</v>
      </c>
      <c r="D58" s="2" t="s">
        <v>68</v>
      </c>
      <c r="E58" s="2" t="s">
        <v>121</v>
      </c>
    </row>
    <row r="59" spans="1:5" ht="12.75" x14ac:dyDescent="0.2">
      <c r="A59" s="5" t="s">
        <v>21</v>
      </c>
      <c r="B59" s="2" t="s">
        <v>173</v>
      </c>
      <c r="C59" s="6" t="s">
        <v>26</v>
      </c>
      <c r="D59" s="2" t="s">
        <v>68</v>
      </c>
      <c r="E59" s="2" t="s">
        <v>121</v>
      </c>
    </row>
    <row r="60" spans="1:5" ht="12.75" x14ac:dyDescent="0.2">
      <c r="A60" s="5" t="s">
        <v>174</v>
      </c>
      <c r="B60" s="2" t="s">
        <v>175</v>
      </c>
      <c r="C60" s="6" t="s">
        <v>26</v>
      </c>
      <c r="D60" s="2" t="s">
        <v>68</v>
      </c>
      <c r="E60" s="2" t="s">
        <v>121</v>
      </c>
    </row>
    <row r="61" spans="1:5" ht="12.75" x14ac:dyDescent="0.2">
      <c r="A61" s="5" t="s">
        <v>176</v>
      </c>
      <c r="B61" s="2" t="s">
        <v>177</v>
      </c>
      <c r="C61" s="6" t="s">
        <v>178</v>
      </c>
      <c r="D61" s="2" t="s">
        <v>72</v>
      </c>
      <c r="E61" s="2" t="s">
        <v>121</v>
      </c>
    </row>
    <row r="62" spans="1:5" ht="12.75" x14ac:dyDescent="0.2">
      <c r="A62" s="5" t="s">
        <v>179</v>
      </c>
      <c r="B62" s="2" t="s">
        <v>180</v>
      </c>
      <c r="C62" s="6" t="s">
        <v>178</v>
      </c>
      <c r="D62" s="2" t="s">
        <v>72</v>
      </c>
      <c r="E62" s="2" t="s">
        <v>121</v>
      </c>
    </row>
    <row r="63" spans="1:5" ht="12.75" x14ac:dyDescent="0.2">
      <c r="A63" s="5" t="s">
        <v>14</v>
      </c>
      <c r="B63" s="2" t="s">
        <v>181</v>
      </c>
      <c r="C63" s="6" t="s">
        <v>19</v>
      </c>
      <c r="D63" s="2" t="s">
        <v>80</v>
      </c>
      <c r="E63" s="2" t="s">
        <v>121</v>
      </c>
    </row>
    <row r="64" spans="1:5" ht="12.75" x14ac:dyDescent="0.2">
      <c r="A64" s="5" t="s">
        <v>25</v>
      </c>
      <c r="B64" s="2" t="s">
        <v>182</v>
      </c>
      <c r="C64" s="6" t="s">
        <v>19</v>
      </c>
      <c r="D64" s="2" t="s">
        <v>80</v>
      </c>
      <c r="E64" s="2" t="s">
        <v>121</v>
      </c>
    </row>
    <row r="65" spans="1:5" ht="12.75" x14ac:dyDescent="0.2">
      <c r="A65" s="5" t="s">
        <v>183</v>
      </c>
      <c r="B65" s="2" t="s">
        <v>184</v>
      </c>
      <c r="C65" s="6" t="s">
        <v>19</v>
      </c>
      <c r="D65" s="2" t="s">
        <v>80</v>
      </c>
      <c r="E65" s="2" t="s">
        <v>121</v>
      </c>
    </row>
    <row r="66" spans="1:5" ht="12.75" x14ac:dyDescent="0.2">
      <c r="A66" s="5" t="s">
        <v>185</v>
      </c>
      <c r="B66" s="2" t="s">
        <v>186</v>
      </c>
      <c r="C66" s="6" t="s">
        <v>19</v>
      </c>
      <c r="D66" s="2" t="s">
        <v>80</v>
      </c>
      <c r="E66" s="2" t="s">
        <v>121</v>
      </c>
    </row>
    <row r="67" spans="1:5" ht="12.75" x14ac:dyDescent="0.2">
      <c r="A67" s="5" t="s">
        <v>187</v>
      </c>
      <c r="B67" s="2" t="s">
        <v>188</v>
      </c>
      <c r="C67" s="6" t="s">
        <v>19</v>
      </c>
      <c r="D67" s="2" t="s">
        <v>80</v>
      </c>
      <c r="E67" s="2" t="s">
        <v>121</v>
      </c>
    </row>
    <row r="68" spans="1:5" ht="12.75" x14ac:dyDescent="0.2">
      <c r="A68" s="5" t="s">
        <v>189</v>
      </c>
      <c r="B68" s="2" t="s">
        <v>190</v>
      </c>
      <c r="C68" s="6" t="s">
        <v>191</v>
      </c>
      <c r="D68" s="2" t="s">
        <v>84</v>
      </c>
      <c r="E68" s="2" t="s">
        <v>121</v>
      </c>
    </row>
    <row r="69" spans="1:5" ht="12.75" x14ac:dyDescent="0.2">
      <c r="A69" s="5" t="s">
        <v>192</v>
      </c>
      <c r="B69" s="2" t="s">
        <v>193</v>
      </c>
      <c r="C69" s="6" t="s">
        <v>191</v>
      </c>
      <c r="D69" s="2" t="s">
        <v>84</v>
      </c>
      <c r="E69" s="2" t="s">
        <v>121</v>
      </c>
    </row>
    <row r="70" spans="1:5" ht="12.75" x14ac:dyDescent="0.2">
      <c r="A70" s="5" t="s">
        <v>194</v>
      </c>
      <c r="B70" s="2" t="s">
        <v>195</v>
      </c>
      <c r="C70" s="6" t="s">
        <v>191</v>
      </c>
      <c r="D70" s="2" t="s">
        <v>84</v>
      </c>
      <c r="E70" s="2" t="s">
        <v>121</v>
      </c>
    </row>
    <row r="71" spans="1:5" ht="12.75" x14ac:dyDescent="0.2">
      <c r="A71" s="5" t="s">
        <v>196</v>
      </c>
      <c r="B71" s="2" t="s">
        <v>197</v>
      </c>
      <c r="C71" s="6" t="s">
        <v>191</v>
      </c>
      <c r="D71" s="2" t="s">
        <v>84</v>
      </c>
      <c r="E71" s="2" t="s">
        <v>121</v>
      </c>
    </row>
    <row r="72" spans="1:5" ht="12.75" x14ac:dyDescent="0.2">
      <c r="A72" s="5" t="s">
        <v>198</v>
      </c>
      <c r="B72" s="2" t="s">
        <v>199</v>
      </c>
      <c r="C72" s="6" t="s">
        <v>191</v>
      </c>
      <c r="D72" s="2" t="s">
        <v>84</v>
      </c>
      <c r="E72" s="2" t="s">
        <v>121</v>
      </c>
    </row>
    <row r="73" spans="1:5" ht="12.75" x14ac:dyDescent="0.2">
      <c r="A73" s="5" t="s">
        <v>200</v>
      </c>
      <c r="B73" s="2" t="s">
        <v>201</v>
      </c>
      <c r="C73" s="6" t="s">
        <v>202</v>
      </c>
      <c r="D73" s="2" t="s">
        <v>92</v>
      </c>
      <c r="E73" s="2" t="s">
        <v>121</v>
      </c>
    </row>
    <row r="74" spans="1:5" ht="12.75" x14ac:dyDescent="0.2">
      <c r="A74" s="5" t="s">
        <v>203</v>
      </c>
      <c r="B74" s="2" t="s">
        <v>204</v>
      </c>
      <c r="C74" s="6" t="s">
        <v>202</v>
      </c>
      <c r="D74" s="2" t="s">
        <v>92</v>
      </c>
      <c r="E74" s="2" t="s">
        <v>121</v>
      </c>
    </row>
    <row r="75" spans="1:5" ht="12.75" x14ac:dyDescent="0.2">
      <c r="A75" s="5" t="s">
        <v>205</v>
      </c>
      <c r="B75" s="2" t="s">
        <v>206</v>
      </c>
      <c r="C75" s="6" t="s">
        <v>202</v>
      </c>
      <c r="D75" s="2" t="s">
        <v>92</v>
      </c>
      <c r="E75" s="2" t="s">
        <v>121</v>
      </c>
    </row>
    <row r="76" spans="1:5" ht="12.75" x14ac:dyDescent="0.2">
      <c r="A76" s="5" t="s">
        <v>207</v>
      </c>
      <c r="B76" s="2" t="s">
        <v>208</v>
      </c>
      <c r="C76" s="6" t="s">
        <v>202</v>
      </c>
      <c r="D76" s="2" t="s">
        <v>92</v>
      </c>
      <c r="E76" s="2" t="s">
        <v>121</v>
      </c>
    </row>
    <row r="77" spans="1:5" ht="12.75" x14ac:dyDescent="0.2">
      <c r="A77" s="5" t="s">
        <v>209</v>
      </c>
      <c r="B77" s="2" t="s">
        <v>210</v>
      </c>
      <c r="C77" s="6" t="s">
        <v>202</v>
      </c>
      <c r="D77" s="2" t="s">
        <v>92</v>
      </c>
      <c r="E77" s="2" t="s">
        <v>121</v>
      </c>
    </row>
    <row r="78" spans="1:5" ht="12.75" x14ac:dyDescent="0.2">
      <c r="A78" s="5" t="s">
        <v>211</v>
      </c>
      <c r="B78" s="2" t="s">
        <v>212</v>
      </c>
      <c r="C78" s="6" t="s">
        <v>202</v>
      </c>
      <c r="D78" s="2" t="s">
        <v>92</v>
      </c>
      <c r="E78" s="2" t="s">
        <v>121</v>
      </c>
    </row>
    <row r="79" spans="1:5" ht="12.75" x14ac:dyDescent="0.2">
      <c r="A79" s="5" t="s">
        <v>213</v>
      </c>
      <c r="B79" s="2" t="s">
        <v>214</v>
      </c>
      <c r="C79" s="6" t="s">
        <v>202</v>
      </c>
      <c r="D79" s="2" t="s">
        <v>92</v>
      </c>
      <c r="E79" s="2" t="s">
        <v>121</v>
      </c>
    </row>
    <row r="80" spans="1:5" ht="12.75" x14ac:dyDescent="0.2">
      <c r="A80" s="5" t="s">
        <v>215</v>
      </c>
      <c r="B80" s="2" t="s">
        <v>216</v>
      </c>
      <c r="C80" s="6" t="s">
        <v>202</v>
      </c>
      <c r="D80" s="2" t="s">
        <v>92</v>
      </c>
      <c r="E80" s="2" t="s">
        <v>121</v>
      </c>
    </row>
    <row r="81" spans="1:5" ht="12.75" x14ac:dyDescent="0.2">
      <c r="A81" s="5" t="s">
        <v>217</v>
      </c>
      <c r="B81" s="2" t="s">
        <v>218</v>
      </c>
      <c r="C81" s="6" t="s">
        <v>202</v>
      </c>
      <c r="D81" s="2" t="s">
        <v>92</v>
      </c>
      <c r="E81" s="2" t="s">
        <v>121</v>
      </c>
    </row>
    <row r="82" spans="1:5" ht="12.75" x14ac:dyDescent="0.2">
      <c r="A82" s="5" t="s">
        <v>219</v>
      </c>
      <c r="B82" s="2" t="s">
        <v>220</v>
      </c>
      <c r="C82" s="6" t="s">
        <v>202</v>
      </c>
      <c r="D82" s="2" t="s">
        <v>92</v>
      </c>
      <c r="E82" s="2" t="s">
        <v>121</v>
      </c>
    </row>
    <row r="83" spans="1:5" ht="12.75" x14ac:dyDescent="0.2">
      <c r="A83" s="5" t="s">
        <v>221</v>
      </c>
      <c r="B83" s="2" t="s">
        <v>222</v>
      </c>
      <c r="C83" s="6" t="s">
        <v>202</v>
      </c>
      <c r="D83" s="2" t="s">
        <v>92</v>
      </c>
      <c r="E83" s="2" t="s">
        <v>121</v>
      </c>
    </row>
    <row r="84" spans="1:5" ht="12.75" x14ac:dyDescent="0.2">
      <c r="A84" s="5" t="s">
        <v>223</v>
      </c>
      <c r="B84" s="2" t="s">
        <v>224</v>
      </c>
      <c r="C84" s="6" t="s">
        <v>202</v>
      </c>
      <c r="D84" s="2" t="s">
        <v>92</v>
      </c>
      <c r="E84" s="2" t="s">
        <v>121</v>
      </c>
    </row>
    <row r="85" spans="1:5" ht="12.75" x14ac:dyDescent="0.2">
      <c r="A85" s="5" t="s">
        <v>225</v>
      </c>
      <c r="B85" s="2" t="s">
        <v>226</v>
      </c>
      <c r="C85" s="6" t="s">
        <v>227</v>
      </c>
      <c r="D85" s="2" t="s">
        <v>228</v>
      </c>
      <c r="E85" s="2" t="s">
        <v>121</v>
      </c>
    </row>
    <row r="86" spans="1:5" ht="12.75" x14ac:dyDescent="0.2">
      <c r="A86" s="5" t="s">
        <v>23</v>
      </c>
      <c r="B86" s="2" t="s">
        <v>229</v>
      </c>
      <c r="C86" s="6" t="s">
        <v>227</v>
      </c>
      <c r="D86" s="2" t="s">
        <v>228</v>
      </c>
      <c r="E86" s="2" t="s">
        <v>121</v>
      </c>
    </row>
    <row r="87" spans="1:5" ht="12.75" x14ac:dyDescent="0.2">
      <c r="A87" s="5" t="s">
        <v>20</v>
      </c>
      <c r="B87" s="2" t="s">
        <v>230</v>
      </c>
      <c r="C87" s="6" t="s">
        <v>227</v>
      </c>
      <c r="D87" s="2" t="s">
        <v>228</v>
      </c>
      <c r="E87" s="2" t="s">
        <v>121</v>
      </c>
    </row>
    <row r="88" spans="1:5" ht="12.75" x14ac:dyDescent="0.2">
      <c r="A88" s="5" t="s">
        <v>231</v>
      </c>
      <c r="B88" s="2" t="s">
        <v>232</v>
      </c>
      <c r="C88" s="6" t="s">
        <v>227</v>
      </c>
      <c r="D88" s="2" t="s">
        <v>228</v>
      </c>
      <c r="E88" s="2" t="s">
        <v>121</v>
      </c>
    </row>
    <row r="89" spans="1:5" ht="12.75" x14ac:dyDescent="0.2">
      <c r="A89" s="5" t="s">
        <v>233</v>
      </c>
      <c r="B89" s="2" t="s">
        <v>234</v>
      </c>
      <c r="C89" s="6" t="s">
        <v>24</v>
      </c>
      <c r="D89" s="2" t="s">
        <v>235</v>
      </c>
      <c r="E89" s="2" t="s">
        <v>236</v>
      </c>
    </row>
    <row r="90" spans="1:5" ht="12.75" x14ac:dyDescent="0.2">
      <c r="A90" s="5" t="s">
        <v>237</v>
      </c>
      <c r="B90" s="2" t="s">
        <v>238</v>
      </c>
      <c r="C90" s="6" t="s">
        <v>24</v>
      </c>
      <c r="D90" s="2" t="s">
        <v>235</v>
      </c>
      <c r="E90" s="2" t="s">
        <v>236</v>
      </c>
    </row>
  </sheetData>
  <autoFilter ref="A1:E90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"/>
  <sheetViews>
    <sheetView zoomScale="89" zoomScaleNormal="89" workbookViewId="0">
      <selection activeCell="E367" sqref="E367"/>
    </sheetView>
  </sheetViews>
  <sheetFormatPr baseColWidth="10" defaultRowHeight="12.75" x14ac:dyDescent="0.2"/>
  <cols>
    <col min="1" max="1" width="4.42578125" style="16" bestFit="1" customWidth="1"/>
    <col min="4" max="4" width="6.85546875" style="8" customWidth="1"/>
    <col min="5" max="5" width="23" customWidth="1"/>
    <col min="6" max="6" width="6.140625" customWidth="1"/>
    <col min="7" max="7" width="45.28515625" customWidth="1"/>
    <col min="8" max="8" width="5.140625" customWidth="1"/>
    <col min="9" max="9" width="26" customWidth="1"/>
    <col min="11" max="11" width="13.5703125" customWidth="1"/>
  </cols>
  <sheetData>
    <row r="1" spans="1:15" ht="15.75" x14ac:dyDescent="0.2">
      <c r="A1" s="34" t="s">
        <v>0</v>
      </c>
      <c r="B1" s="34" t="s">
        <v>1</v>
      </c>
      <c r="C1" s="35" t="s">
        <v>2</v>
      </c>
      <c r="D1" s="37" t="s">
        <v>3</v>
      </c>
      <c r="E1" s="34" t="s">
        <v>4</v>
      </c>
      <c r="F1" s="35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11</v>
      </c>
      <c r="L1" s="34" t="s">
        <v>244</v>
      </c>
      <c r="M1" s="33" t="s">
        <v>243</v>
      </c>
      <c r="N1" s="38" t="s">
        <v>267</v>
      </c>
      <c r="O1" s="38" t="s">
        <v>268</v>
      </c>
    </row>
    <row r="2" spans="1:15" x14ac:dyDescent="0.2">
      <c r="A2" s="36">
        <f>'Invest. IF'!A2</f>
        <v>1</v>
      </c>
      <c r="B2" s="21" t="e">
        <f>'Invest. IF'!#REF!</f>
        <v>#REF!</v>
      </c>
      <c r="C2" s="32" t="str">
        <f>'Invest. IF'!B2</f>
        <v>San Clemente</v>
      </c>
      <c r="D2" s="7">
        <f>'Invest. IF'!C2</f>
        <v>5</v>
      </c>
      <c r="E2" s="32" t="str">
        <f>'Invest. IF'!D2</f>
        <v>Flor del Llano</v>
      </c>
      <c r="F2" s="32" t="str">
        <f>'Invest. IF'!E2</f>
        <v>4.8.1</v>
      </c>
      <c r="G2" s="32" t="str">
        <f>'Invest. IF'!F2</f>
        <v>Quema no avisada con fines de limpieza en canales, cunetas, cercos o caminos (en predios particulares o públicos) que se propaga libre y sin control</v>
      </c>
      <c r="H2" s="32" t="str">
        <f>'Invest. IF'!G2</f>
        <v>4.8</v>
      </c>
      <c r="I2" s="32" t="str">
        <f>'Invest. IF'!H2</f>
        <v>Otras quemas</v>
      </c>
      <c r="J2" s="32" t="str">
        <f>'Invest. IF'!I2</f>
        <v>Negligentes</v>
      </c>
      <c r="K2" s="32" t="str">
        <f>'Invest. IF'!M2</f>
        <v>Septiembre</v>
      </c>
      <c r="L2" s="32" t="str">
        <f>'Invest. IF'!N2</f>
        <v>ITA_N-1_R20-FLOR DEL LLANO_NR-5</v>
      </c>
      <c r="M2" s="32" t="str">
        <f>'Invest. IF'!O2</f>
        <v>Talca</v>
      </c>
      <c r="N2" s="32">
        <f>'Invest. IF'!J2</f>
        <v>269761</v>
      </c>
      <c r="O2" s="32">
        <f>'Invest. IF'!K2</f>
        <v>6068526</v>
      </c>
    </row>
    <row r="3" spans="1:15" x14ac:dyDescent="0.2">
      <c r="A3" s="36">
        <f>'Invest. IF'!A3</f>
        <v>2</v>
      </c>
      <c r="B3" s="21" t="e">
        <f>'Invest. IF'!#REF!</f>
        <v>#REF!</v>
      </c>
      <c r="C3" s="32" t="str">
        <f>'Invest. IF'!B3</f>
        <v>Pelluhue</v>
      </c>
      <c r="D3" s="7">
        <f>'Invest. IF'!C3</f>
        <v>6</v>
      </c>
      <c r="E3" s="32" t="str">
        <f>'Invest. IF'!D3</f>
        <v>Canelillos</v>
      </c>
      <c r="F3" s="32" t="str">
        <f>'Invest. IF'!E3</f>
        <v>4.1.1</v>
      </c>
      <c r="G3" s="32" t="str">
        <f>'Invest. IF'!F3</f>
        <v>Quema no avisada de desechos forestales que se propaga libre y sin control</v>
      </c>
      <c r="H3" s="32" t="str">
        <f>'Invest. IF'!G3</f>
        <v>4.1</v>
      </c>
      <c r="I3" s="32" t="str">
        <f>'Invest. IF'!H3</f>
        <v>Faenas forestales</v>
      </c>
      <c r="J3" s="32" t="str">
        <f>'Invest. IF'!I3</f>
        <v>Negligentes</v>
      </c>
      <c r="K3" s="32" t="str">
        <f>'Invest. IF'!M3</f>
        <v>Septiembre</v>
      </c>
      <c r="L3" s="32" t="str">
        <f>'Invest. IF'!N3</f>
        <v>ITA_N-2_R20-CANELILLOS_NR-6</v>
      </c>
      <c r="M3" s="32" t="str">
        <f>'Invest. IF'!O3</f>
        <v>Cauquenes</v>
      </c>
      <c r="N3" s="32">
        <f>'Invest. IF'!J3</f>
        <v>710893</v>
      </c>
      <c r="O3" s="32">
        <f>'Invest. IF'!K3</f>
        <v>6015439</v>
      </c>
    </row>
    <row r="4" spans="1:15" x14ac:dyDescent="0.2">
      <c r="A4" s="36">
        <f>'Invest. IF'!A4</f>
        <v>3</v>
      </c>
      <c r="B4" s="21" t="e">
        <f>'Invest. IF'!#REF!</f>
        <v>#REF!</v>
      </c>
      <c r="C4" s="32" t="str">
        <f>'Invest. IF'!B4</f>
        <v>Parral</v>
      </c>
      <c r="D4" s="7">
        <f>'Invest. IF'!C4</f>
        <v>7</v>
      </c>
      <c r="E4" s="32" t="str">
        <f>'Invest. IF'!D4</f>
        <v>San Pablo</v>
      </c>
      <c r="F4" s="32" t="str">
        <f>'Invest. IF'!E4</f>
        <v>4.2.1</v>
      </c>
      <c r="G4" s="32" t="str">
        <f>'Invest. IF'!F4</f>
        <v>Quema no avisada de desechos agrícolas que se propaga libre y sin control</v>
      </c>
      <c r="H4" s="32" t="str">
        <f>'Invest. IF'!G4</f>
        <v>4.2</v>
      </c>
      <c r="I4" s="32" t="str">
        <f>'Invest. IF'!H4</f>
        <v>Faenas agrícolas y pecuarias</v>
      </c>
      <c r="J4" s="32" t="str">
        <f>'Invest. IF'!I4</f>
        <v>Negligentes</v>
      </c>
      <c r="K4" s="32" t="str">
        <f>'Invest. IF'!M4</f>
        <v>Septiembre</v>
      </c>
      <c r="L4" s="32" t="str">
        <f>'Invest. IF'!N4</f>
        <v>ITA_N-3_R20-SAN PABLO_NR-7</v>
      </c>
      <c r="M4" s="32" t="str">
        <f>'Invest. IF'!O4</f>
        <v>Linares</v>
      </c>
      <c r="N4" s="32">
        <f>'Invest. IF'!J4</f>
        <v>248592</v>
      </c>
      <c r="O4" s="32">
        <f>'Invest. IF'!K4</f>
        <v>5994895</v>
      </c>
    </row>
    <row r="5" spans="1:15" x14ac:dyDescent="0.2">
      <c r="A5" s="36">
        <f>'Invest. IF'!A5</f>
        <v>4</v>
      </c>
      <c r="B5" s="21" t="e">
        <f>'Invest. IF'!#REF!</f>
        <v>#REF!</v>
      </c>
      <c r="C5" s="32" t="str">
        <f>'Invest. IF'!B5</f>
        <v>Pencahue</v>
      </c>
      <c r="D5" s="7">
        <f>'Invest. IF'!C5</f>
        <v>9</v>
      </c>
      <c r="E5" s="32" t="str">
        <f>'Invest. IF'!D5</f>
        <v>Santa Patricia</v>
      </c>
      <c r="F5" s="32" t="str">
        <f>'Invest. IF'!E5</f>
        <v>4.6.5</v>
      </c>
      <c r="G5" s="32" t="str">
        <f>'Invest. IF'!F5</f>
        <v>Empleo de fuentes de calor en actividades relacionadas a parcelaciones (asados, tijerales, fogatas, otros)</v>
      </c>
      <c r="H5" s="32" t="str">
        <f>'Invest. IF'!G5</f>
        <v>4.6</v>
      </c>
      <c r="I5" s="32" t="str">
        <f>'Invest. IF'!H5</f>
        <v>Parcelaciones, edificaciones residenciales, industriales u otras en zonas rurales o de interfaz</v>
      </c>
      <c r="J5" s="32" t="str">
        <f>'Invest. IF'!I5</f>
        <v>Negligentes</v>
      </c>
      <c r="K5" s="32" t="str">
        <f>'Invest. IF'!M5</f>
        <v>Octubre</v>
      </c>
      <c r="L5" s="32" t="str">
        <f>'Invest. IF'!N5</f>
        <v>ITA_N-4_R20-SANTA PATRICIA_NR-9</v>
      </c>
      <c r="M5" s="32" t="str">
        <f>'Invest. IF'!O5</f>
        <v>Talca</v>
      </c>
      <c r="N5" s="32">
        <f>'Invest. IF'!J5</f>
        <v>255515</v>
      </c>
      <c r="O5" s="32">
        <f>'Invest. IF'!K5</f>
        <v>6084357</v>
      </c>
    </row>
    <row r="6" spans="1:15" x14ac:dyDescent="0.2">
      <c r="A6" s="36">
        <f>'Invest. IF'!A6</f>
        <v>5</v>
      </c>
      <c r="B6" s="21" t="e">
        <f>'Invest. IF'!#REF!</f>
        <v>#REF!</v>
      </c>
      <c r="C6" s="32" t="str">
        <f>'Invest. IF'!B6</f>
        <v>Talca</v>
      </c>
      <c r="D6" s="7">
        <f>'Invest. IF'!C6</f>
        <v>11</v>
      </c>
      <c r="E6" s="32" t="str">
        <f>'Invest. IF'!D6</f>
        <v>Palmira</v>
      </c>
      <c r="F6" s="32" t="str">
        <f>'Invest. IF'!E6</f>
        <v>4.8.1</v>
      </c>
      <c r="G6" s="32" t="str">
        <f>'Invest. IF'!F6</f>
        <v>Quema no avisada con fines de limpieza en canales, cunetas, cercos o caminos (en predios particulares o públicos) que se propaga libre y sin control</v>
      </c>
      <c r="H6" s="32" t="str">
        <f>'Invest. IF'!G6</f>
        <v>4.8</v>
      </c>
      <c r="I6" s="32" t="str">
        <f>'Invest. IF'!H6</f>
        <v>Otras quemas</v>
      </c>
      <c r="J6" s="32" t="str">
        <f>'Invest. IF'!I6</f>
        <v>Negligentes</v>
      </c>
      <c r="K6" s="32" t="str">
        <f>'Invest. IF'!M6</f>
        <v>Octubre</v>
      </c>
      <c r="L6" s="32" t="str">
        <f>'Invest. IF'!N6</f>
        <v>ITA_N-5_R20-PALMIRA_NR-11</v>
      </c>
      <c r="M6" s="32" t="str">
        <f>'Invest. IF'!O6</f>
        <v>Talca</v>
      </c>
      <c r="N6" s="32">
        <f>'Invest. IF'!J6</f>
        <v>261374</v>
      </c>
      <c r="O6" s="32">
        <f>'Invest. IF'!K6</f>
        <v>6072852</v>
      </c>
    </row>
    <row r="7" spans="1:15" x14ac:dyDescent="0.2">
      <c r="A7" s="36">
        <f>'Invest. IF'!A7</f>
        <v>6</v>
      </c>
      <c r="B7" s="21" t="e">
        <f>'Invest. IF'!#REF!</f>
        <v>#REF!</v>
      </c>
      <c r="C7" s="32" t="str">
        <f>'Invest. IF'!B7</f>
        <v>Teno</v>
      </c>
      <c r="D7" s="7">
        <f>'Invest. IF'!C7</f>
        <v>14</v>
      </c>
      <c r="E7" s="32" t="str">
        <f>'Invest. IF'!D7</f>
        <v>Rincón de San Carlos</v>
      </c>
      <c r="F7" s="32" t="str">
        <f>'Invest. IF'!E7</f>
        <v>4.2.8</v>
      </c>
      <c r="G7" s="32" t="str">
        <f>'Invest. IF'!F7</f>
        <v>Otras causas negligentes no clasificadas en faenas agrícolas y pecuarias</v>
      </c>
      <c r="H7" s="32" t="str">
        <f>'Invest. IF'!G7</f>
        <v>4.2</v>
      </c>
      <c r="I7" s="32" t="str">
        <f>'Invest. IF'!H7</f>
        <v>Faenas agrícolas y pecuarias</v>
      </c>
      <c r="J7" s="32" t="str">
        <f>'Invest. IF'!I7</f>
        <v>Negligentes</v>
      </c>
      <c r="K7" s="32" t="str">
        <f>'Invest. IF'!M7</f>
        <v>Octubre</v>
      </c>
      <c r="L7" s="32" t="str">
        <f>'Invest. IF'!N7</f>
        <v>ITA_N-6_R20-RINCON DE SAN CARLOS_NR-14</v>
      </c>
      <c r="M7" s="32" t="str">
        <f>'Invest. IF'!O7</f>
        <v>Curicó</v>
      </c>
      <c r="N7" s="32">
        <f>'Invest. IF'!J7</f>
        <v>317177</v>
      </c>
      <c r="O7" s="32">
        <f>'Invest. IF'!K7</f>
        <v>6137223</v>
      </c>
    </row>
    <row r="8" spans="1:15" x14ac:dyDescent="0.2">
      <c r="A8" s="36">
        <f>'Invest. IF'!A8</f>
        <v>7</v>
      </c>
      <c r="B8" s="21" t="e">
        <f>'Invest. IF'!#REF!</f>
        <v>#REF!</v>
      </c>
      <c r="C8" s="32" t="str">
        <f>'Invest. IF'!B8</f>
        <v>Sagrada Familia</v>
      </c>
      <c r="D8" s="7">
        <f>'Invest. IF'!C8</f>
        <v>19</v>
      </c>
      <c r="E8" s="32" t="str">
        <f>'Invest. IF'!D8</f>
        <v>La Isla</v>
      </c>
      <c r="F8" s="32" t="str">
        <f>'Invest. IF'!E8</f>
        <v>4.2.1</v>
      </c>
      <c r="G8" s="32" t="str">
        <f>'Invest. IF'!F8</f>
        <v>Quema no avisada de desechos agrícolas que se propaga libre y sin control</v>
      </c>
      <c r="H8" s="32" t="str">
        <f>'Invest. IF'!G8</f>
        <v>4.2</v>
      </c>
      <c r="I8" s="32" t="str">
        <f>'Invest. IF'!H8</f>
        <v>Faenas agrícolas y pecuarias</v>
      </c>
      <c r="J8" s="32" t="str">
        <f>'Invest. IF'!I8</f>
        <v>Negligentes</v>
      </c>
      <c r="K8" s="32" t="str">
        <f>'Invest. IF'!M8</f>
        <v>Octubre</v>
      </c>
      <c r="L8" s="32" t="str">
        <f>'Invest. IF'!N8</f>
        <v>ITA_N-7_R20-LA ISLA_NR-19</v>
      </c>
      <c r="M8" s="32" t="str">
        <f>'Invest. IF'!O8</f>
        <v>Curicó</v>
      </c>
      <c r="N8" s="32">
        <f>'Invest. IF'!J8</f>
        <v>258197</v>
      </c>
      <c r="O8" s="32">
        <f>'Invest. IF'!K8</f>
        <v>6111756</v>
      </c>
    </row>
    <row r="9" spans="1:15" x14ac:dyDescent="0.2">
      <c r="A9" s="36">
        <f>'Invest. IF'!A9</f>
        <v>8</v>
      </c>
      <c r="B9" s="21" t="e">
        <f>'Invest. IF'!#REF!</f>
        <v>#REF!</v>
      </c>
      <c r="C9" s="32" t="str">
        <f>'Invest. IF'!B9</f>
        <v>Sagrada Familia</v>
      </c>
      <c r="D9" s="7">
        <f>'Invest. IF'!C9</f>
        <v>20</v>
      </c>
      <c r="E9" s="32" t="str">
        <f>'Invest. IF'!D9</f>
        <v>Huaquen</v>
      </c>
      <c r="F9" s="32" t="str">
        <f>'Invest. IF'!E9</f>
        <v>4.8.4</v>
      </c>
      <c r="G9" s="32" t="str">
        <f>'Invest. IF'!F9</f>
        <v>Empleo de fuentes de calor para eliminación de fauna  (roedores, reptiles, avispas, otros)</v>
      </c>
      <c r="H9" s="32" t="str">
        <f>'Invest. IF'!G9</f>
        <v>4.8</v>
      </c>
      <c r="I9" s="32" t="str">
        <f>'Invest. IF'!H9</f>
        <v>Otras quemas</v>
      </c>
      <c r="J9" s="32" t="str">
        <f>'Invest. IF'!I9</f>
        <v>Negligentes</v>
      </c>
      <c r="K9" s="32" t="str">
        <f>'Invest. IF'!M9</f>
        <v>Octubre</v>
      </c>
      <c r="L9" s="32" t="str">
        <f>'Invest. IF'!N9</f>
        <v>ITA_N-8_R20-HUAQUEN_NR-20</v>
      </c>
      <c r="M9" s="32" t="str">
        <f>'Invest. IF'!O9</f>
        <v>Curicó</v>
      </c>
      <c r="N9" s="32">
        <f>'Invest. IF'!J9</f>
        <v>256366</v>
      </c>
      <c r="O9" s="32">
        <f>'Invest. IF'!K9</f>
        <v>6111056</v>
      </c>
    </row>
    <row r="10" spans="1:15" x14ac:dyDescent="0.2">
      <c r="A10" s="36">
        <f>'Invest. IF'!A10</f>
        <v>9</v>
      </c>
      <c r="B10" s="21" t="e">
        <f>'Invest. IF'!#REF!</f>
        <v>#REF!</v>
      </c>
      <c r="C10" s="32" t="str">
        <f>'Invest. IF'!B10</f>
        <v>Cauquenes</v>
      </c>
      <c r="D10" s="7">
        <f>'Invest. IF'!C10</f>
        <v>23</v>
      </c>
      <c r="E10" s="32" t="str">
        <f>'Invest. IF'!D10</f>
        <v>Tabolguen</v>
      </c>
      <c r="F10" s="32" t="str">
        <f>'Invest. IF'!E10</f>
        <v>2.1.1</v>
      </c>
      <c r="G10" s="32" t="str">
        <f>'Invest. IF'!F10</f>
        <v>Provocado, no se identifica la motivación</v>
      </c>
      <c r="H10" s="32" t="str">
        <f>'Invest. IF'!G10</f>
        <v>2.1</v>
      </c>
      <c r="I10" s="32" t="str">
        <f>'Invest. IF'!H10</f>
        <v>Incendios intencionales</v>
      </c>
      <c r="J10" s="32" t="str">
        <f>'Invest. IF'!I10</f>
        <v>Intencionales</v>
      </c>
      <c r="K10" s="32" t="str">
        <f>'Invest. IF'!M10</f>
        <v>Octubre</v>
      </c>
      <c r="L10" s="32" t="str">
        <f>'Invest. IF'!N10</f>
        <v>ITA_N-9_R20-TABOLGUEN_NR-23</v>
      </c>
      <c r="M10" s="32" t="str">
        <f>'Invest. IF'!O10</f>
        <v>Cauquenes</v>
      </c>
      <c r="N10" s="32">
        <f>'Invest. IF'!J10</f>
        <v>736662</v>
      </c>
      <c r="O10" s="32">
        <f>'Invest. IF'!K10</f>
        <v>6022384</v>
      </c>
    </row>
    <row r="11" spans="1:15" x14ac:dyDescent="0.2">
      <c r="A11" s="36">
        <f>'Invest. IF'!A11</f>
        <v>10</v>
      </c>
      <c r="B11" s="21" t="e">
        <f>'Invest. IF'!#REF!</f>
        <v>#REF!</v>
      </c>
      <c r="C11" s="32" t="str">
        <f>'Invest. IF'!B11</f>
        <v>Pelluhue</v>
      </c>
      <c r="D11" s="7">
        <f>'Invest. IF'!C11</f>
        <v>21</v>
      </c>
      <c r="E11" s="32" t="str">
        <f>'Invest. IF'!D11</f>
        <v>Chovellen</v>
      </c>
      <c r="F11" s="32" t="str">
        <f>'Invest. IF'!E11</f>
        <v>4.10.12</v>
      </c>
      <c r="G11" s="32" t="str">
        <f>'Invest. IF'!F11</f>
        <v>Otras actividades negligentes no clasificadas</v>
      </c>
      <c r="H11" s="32" t="str">
        <f>'Invest. IF'!G11</f>
        <v>4.10</v>
      </c>
      <c r="I11" s="32" t="str">
        <f>'Invest. IF'!H11</f>
        <v>Otras causas</v>
      </c>
      <c r="J11" s="32" t="str">
        <f>'Invest. IF'!I11</f>
        <v>Negligentes</v>
      </c>
      <c r="K11" s="32" t="str">
        <f>'Invest. IF'!M11</f>
        <v>Octubre</v>
      </c>
      <c r="L11" s="32" t="str">
        <f>'Invest. IF'!N11</f>
        <v>ITA_N-10_R20-CHOVELLEN_NR-21</v>
      </c>
      <c r="M11" s="32" t="str">
        <f>'Invest. IF'!O11</f>
        <v>Cauquenes</v>
      </c>
      <c r="N11" s="32">
        <f>'Invest. IF'!J11</f>
        <v>711105</v>
      </c>
      <c r="O11" s="32">
        <f>'Invest. IF'!K11</f>
        <v>6024701</v>
      </c>
    </row>
    <row r="12" spans="1:15" x14ac:dyDescent="0.2">
      <c r="A12" s="36">
        <f>'Invest. IF'!A12</f>
        <v>11</v>
      </c>
      <c r="B12" s="21" t="e">
        <f>'Invest. IF'!#REF!</f>
        <v>#REF!</v>
      </c>
      <c r="C12" s="32" t="str">
        <f>'Invest. IF'!B12</f>
        <v>Yerbas Buenas</v>
      </c>
      <c r="D12" s="7">
        <f>'Invest. IF'!C12</f>
        <v>33</v>
      </c>
      <c r="E12" s="32" t="str">
        <f>'Invest. IF'!D12</f>
        <v>Coironal</v>
      </c>
      <c r="F12" s="32" t="str">
        <f>'Invest. IF'!E12</f>
        <v>4.2.6</v>
      </c>
      <c r="G12" s="32" t="str">
        <f>'Invest. IF'!F12</f>
        <v>Quema avisada de desechos agrícolas  mal ejecutada que se propaga libre y sin control (según plan de quema y/o aviso de quemas)</v>
      </c>
      <c r="H12" s="32" t="str">
        <f>'Invest. IF'!G12</f>
        <v>4.2</v>
      </c>
      <c r="I12" s="32" t="str">
        <f>'Invest. IF'!H12</f>
        <v>Faenas agrícolas y pecuarias</v>
      </c>
      <c r="J12" s="32" t="str">
        <f>'Invest. IF'!I12</f>
        <v>Negligentes</v>
      </c>
      <c r="K12" s="32" t="str">
        <f>'Invest. IF'!M12</f>
        <v>Octubre</v>
      </c>
      <c r="L12" s="32" t="str">
        <f>'Invest. IF'!N12</f>
        <v>ITA_N-11_R20-COIRONAL_NR-33</v>
      </c>
      <c r="M12" s="32" t="str">
        <f>'Invest. IF'!O12</f>
        <v>Linares</v>
      </c>
      <c r="N12" s="32">
        <f>'Invest. IF'!J12</f>
        <v>260770</v>
      </c>
      <c r="O12" s="32">
        <f>'Invest. IF'!K12</f>
        <v>6038159</v>
      </c>
    </row>
    <row r="13" spans="1:15" x14ac:dyDescent="0.2">
      <c r="A13" s="36">
        <f>'Invest. IF'!A13</f>
        <v>12</v>
      </c>
      <c r="B13" s="21" t="e">
        <f>'Invest. IF'!#REF!</f>
        <v>#REF!</v>
      </c>
      <c r="C13" s="32" t="str">
        <f>'Invest. IF'!B13</f>
        <v>Longaví</v>
      </c>
      <c r="D13" s="7">
        <f>'Invest. IF'!C13</f>
        <v>37</v>
      </c>
      <c r="E13" s="32" t="str">
        <f>'Invest. IF'!D13</f>
        <v>Camino a la quinta</v>
      </c>
      <c r="F13" s="32" t="str">
        <f>'Invest. IF'!E13</f>
        <v>4.2.8</v>
      </c>
      <c r="G13" s="32" t="str">
        <f>'Invest. IF'!F13</f>
        <v>Otras causas negligentes no clasificadas en faenas agrícolas y pecuarias</v>
      </c>
      <c r="H13" s="32" t="str">
        <f>'Invest. IF'!G13</f>
        <v>4.2</v>
      </c>
      <c r="I13" s="32" t="str">
        <f>'Invest. IF'!H13</f>
        <v>Faenas agrícolas y pecuarias</v>
      </c>
      <c r="J13" s="32" t="str">
        <f>'Invest. IF'!I13</f>
        <v>Negligentes</v>
      </c>
      <c r="K13" s="32" t="str">
        <f>'Invest. IF'!M13</f>
        <v>Octubre</v>
      </c>
      <c r="L13" s="32" t="str">
        <f>'Invest. IF'!N13</f>
        <v>ITA_N-12_R20-CAMINO A LA QUINTA_NR-37</v>
      </c>
      <c r="M13" s="32" t="str">
        <f>'Invest. IF'!O13</f>
        <v>Linares</v>
      </c>
      <c r="N13" s="32">
        <f>'Invest. IF'!J13</f>
        <v>259646</v>
      </c>
      <c r="O13" s="32">
        <f>'Invest. IF'!K13</f>
        <v>6003027</v>
      </c>
    </row>
    <row r="14" spans="1:15" x14ac:dyDescent="0.2">
      <c r="A14" s="36">
        <f>'Invest. IF'!A14</f>
        <v>13</v>
      </c>
      <c r="B14" s="21" t="e">
        <f>'Invest. IF'!#REF!</f>
        <v>#REF!</v>
      </c>
      <c r="C14" s="32" t="str">
        <f>'Invest. IF'!B14</f>
        <v>Romeral</v>
      </c>
      <c r="D14" s="7">
        <f>'Invest. IF'!C14</f>
        <v>28</v>
      </c>
      <c r="E14" s="32" t="str">
        <f>'Invest. IF'!D14</f>
        <v>Guiaco 3</v>
      </c>
      <c r="F14" s="32" t="str">
        <f>'Invest. IF'!E14</f>
        <v>4.2.8</v>
      </c>
      <c r="G14" s="32" t="str">
        <f>'Invest. IF'!F14</f>
        <v>Otras causas negligentes no clasificadas en faenas agrícolas y pecuarias</v>
      </c>
      <c r="H14" s="32" t="str">
        <f>'Invest. IF'!G14</f>
        <v>4.2</v>
      </c>
      <c r="I14" s="32" t="str">
        <f>'Invest. IF'!H14</f>
        <v>Faenas agrícolas y pecuarias</v>
      </c>
      <c r="J14" s="32" t="str">
        <f>'Invest. IF'!I14</f>
        <v>Negligentes</v>
      </c>
      <c r="K14" s="32" t="str">
        <f>'Invest. IF'!M14</f>
        <v>Octubre</v>
      </c>
      <c r="L14" s="32" t="str">
        <f>'Invest. IF'!N14</f>
        <v>ITA_N-13_R20-GUAICO 3_NR-28</v>
      </c>
      <c r="M14" s="32" t="str">
        <f>'Invest. IF'!O14</f>
        <v>Curicó</v>
      </c>
      <c r="N14" s="32">
        <f>'Invest. IF'!J14</f>
        <v>317629</v>
      </c>
      <c r="O14" s="32">
        <f>'Invest. IF'!K14</f>
        <v>6129030</v>
      </c>
    </row>
    <row r="15" spans="1:15" x14ac:dyDescent="0.2">
      <c r="A15" s="36">
        <f>'Invest. IF'!A15</f>
        <v>14</v>
      </c>
      <c r="B15" s="21" t="e">
        <f>'Invest. IF'!#REF!</f>
        <v>#REF!</v>
      </c>
      <c r="C15" s="32" t="str">
        <f>'Invest. IF'!B15</f>
        <v>Romeral</v>
      </c>
      <c r="D15" s="7">
        <f>'Invest. IF'!C15</f>
        <v>42</v>
      </c>
      <c r="E15" s="32" t="str">
        <f>'Invest. IF'!D15</f>
        <v>Tres Esquinas</v>
      </c>
      <c r="F15" s="32" t="str">
        <f>'Invest. IF'!E15</f>
        <v>4.2.8</v>
      </c>
      <c r="G15" s="32" t="str">
        <f>'Invest. IF'!F15</f>
        <v>Otras causas negligentes no clasificadas en faenas agrícolas y pecuarias</v>
      </c>
      <c r="H15" s="32" t="str">
        <f>'Invest. IF'!G15</f>
        <v>4.2</v>
      </c>
      <c r="I15" s="32" t="str">
        <f>'Invest. IF'!H15</f>
        <v>Faenas agrícolas y pecuarias</v>
      </c>
      <c r="J15" s="32" t="str">
        <f>'Invest. IF'!I15</f>
        <v>Negligentes</v>
      </c>
      <c r="K15" s="32" t="str">
        <f>'Invest. IF'!M15</f>
        <v>Octubre</v>
      </c>
      <c r="L15" s="32" t="str">
        <f>'Invest. IF'!N15</f>
        <v>ITA_N-14_R20-TRES ESQUINAS_NR-42</v>
      </c>
      <c r="M15" s="32" t="str">
        <f>'Invest. IF'!O15</f>
        <v>Curicó</v>
      </c>
      <c r="N15" s="32">
        <f>'Invest. IF'!J15</f>
        <v>308416</v>
      </c>
      <c r="O15" s="32">
        <f>'Invest. IF'!K15</f>
        <v>6128439</v>
      </c>
    </row>
    <row r="16" spans="1:15" x14ac:dyDescent="0.2">
      <c r="A16" s="36">
        <f>'Invest. IF'!A16</f>
        <v>15</v>
      </c>
      <c r="B16" s="21" t="e">
        <f>'Invest. IF'!#REF!</f>
        <v>#REF!</v>
      </c>
      <c r="C16" s="32" t="str">
        <f>'Invest. IF'!B16</f>
        <v>Molina</v>
      </c>
      <c r="D16" s="7">
        <f>'Invest. IF'!C16</f>
        <v>34</v>
      </c>
      <c r="E16" s="32" t="str">
        <f>'Invest. IF'!D16</f>
        <v>Callejón San Luis</v>
      </c>
      <c r="F16" s="32" t="str">
        <f>'Invest. IF'!E16</f>
        <v>4.6.5</v>
      </c>
      <c r="G16" s="32" t="str">
        <f>'Invest. IF'!F16</f>
        <v>Empleo de fuentes de calor en actividades relacionadas a parcelaciones (asados, tijerales, fogatas, otros)</v>
      </c>
      <c r="H16" s="32" t="str">
        <f>'Invest. IF'!G16</f>
        <v>4.6</v>
      </c>
      <c r="I16" s="32" t="str">
        <f>'Invest. IF'!H16</f>
        <v>Parcelaciones, edificaciones residenciales, industriales u otras en zonas rurales o de interfaz</v>
      </c>
      <c r="J16" s="32" t="str">
        <f>'Invest. IF'!I16</f>
        <v>Negligentes</v>
      </c>
      <c r="K16" s="32" t="str">
        <f>'Invest. IF'!M16</f>
        <v>Noviembre</v>
      </c>
      <c r="L16" s="32" t="str">
        <f>'Invest. IF'!N16</f>
        <v>ITA_N-15_R20-CALLEJÓN SAN LUIS_NR-34</v>
      </c>
      <c r="M16" s="32" t="str">
        <f>'Invest. IF'!O16</f>
        <v>Curicó</v>
      </c>
      <c r="N16" s="32">
        <f>'Invest. IF'!J16</f>
        <v>294000</v>
      </c>
      <c r="O16" s="32">
        <f>'Invest. IF'!K16</f>
        <v>6107904</v>
      </c>
    </row>
    <row r="17" spans="1:15" x14ac:dyDescent="0.2">
      <c r="A17" s="36">
        <f>'Invest. IF'!A17</f>
        <v>16</v>
      </c>
      <c r="B17" s="21" t="e">
        <f>'Invest. IF'!#REF!</f>
        <v>#REF!</v>
      </c>
      <c r="C17" s="32" t="str">
        <f>'Invest. IF'!B17</f>
        <v>Molina</v>
      </c>
      <c r="D17" s="7">
        <f>'Invest. IF'!C17</f>
        <v>44</v>
      </c>
      <c r="E17" s="32" t="str">
        <f>'Invest. IF'!D17</f>
        <v>Santa Teresa</v>
      </c>
      <c r="F17" s="32" t="str">
        <f>'Invest. IF'!E17</f>
        <v>4.2.8</v>
      </c>
      <c r="G17" s="32" t="str">
        <f>'Invest. IF'!F17</f>
        <v>Otras causas negligentes no clasificadas en faenas agrícolas y pecuarias</v>
      </c>
      <c r="H17" s="32" t="str">
        <f>'Invest. IF'!G17</f>
        <v>4.2</v>
      </c>
      <c r="I17" s="32" t="str">
        <f>'Invest. IF'!H17</f>
        <v>Faenas agrícolas y pecuarias</v>
      </c>
      <c r="J17" s="32" t="str">
        <f>'Invest. IF'!I17</f>
        <v>Negligentes</v>
      </c>
      <c r="K17" s="32" t="str">
        <f>'Invest. IF'!M17</f>
        <v>Noviembre</v>
      </c>
      <c r="L17" s="32" t="str">
        <f>'Invest. IF'!N17</f>
        <v>ITA_N-16_R20-SANTA TERESA_NR-44</v>
      </c>
      <c r="M17" s="32" t="str">
        <f>'Invest. IF'!O17</f>
        <v>Curicó</v>
      </c>
      <c r="N17" s="32">
        <f>'Invest. IF'!J17</f>
        <v>283407</v>
      </c>
      <c r="O17" s="32">
        <f>'Invest. IF'!K17</f>
        <v>6107447</v>
      </c>
    </row>
    <row r="18" spans="1:15" x14ac:dyDescent="0.2">
      <c r="A18" s="36">
        <f>'Invest. IF'!A18</f>
        <v>17</v>
      </c>
      <c r="B18" s="21" t="e">
        <f>'Invest. IF'!#REF!</f>
        <v>#REF!</v>
      </c>
      <c r="C18" s="32" t="str">
        <f>'Invest. IF'!B18</f>
        <v>San Rafael</v>
      </c>
      <c r="D18" s="7">
        <f>'Invest. IF'!C18</f>
        <v>45</v>
      </c>
      <c r="E18" s="32" t="str">
        <f>'Invest. IF'!D18</f>
        <v>Los Maquis</v>
      </c>
      <c r="F18" s="32" t="str">
        <f>'Invest. IF'!E18</f>
        <v>2.1.1</v>
      </c>
      <c r="G18" s="32" t="str">
        <f>'Invest. IF'!F18</f>
        <v>Provocado, no se identifica la motivación</v>
      </c>
      <c r="H18" s="32" t="str">
        <f>'Invest. IF'!G18</f>
        <v>2.1</v>
      </c>
      <c r="I18" s="32" t="str">
        <f>'Invest. IF'!H18</f>
        <v>Incendios intencionales</v>
      </c>
      <c r="J18" s="32" t="str">
        <f>'Invest. IF'!I18</f>
        <v>Intencionales</v>
      </c>
      <c r="K18" s="32" t="str">
        <f>'Invest. IF'!M18</f>
        <v>Noviembre</v>
      </c>
      <c r="L18" s="32" t="str">
        <f>'Invest. IF'!N18</f>
        <v>ITA_N-17_R20-LOS MAQUIS_NR-45</v>
      </c>
      <c r="M18" s="32" t="str">
        <f>'Invest. IF'!O18</f>
        <v>Talca</v>
      </c>
      <c r="N18" s="32">
        <f>'Invest. IF'!J18</f>
        <v>277237</v>
      </c>
      <c r="O18" s="32">
        <f>'Invest. IF'!K18</f>
        <v>6098686</v>
      </c>
    </row>
    <row r="19" spans="1:15" x14ac:dyDescent="0.2">
      <c r="A19" s="36">
        <f>'Invest. IF'!A19</f>
        <v>18</v>
      </c>
      <c r="B19" s="21" t="e">
        <f>'Invest. IF'!#REF!</f>
        <v>#REF!</v>
      </c>
      <c r="C19" s="32" t="str">
        <f>'Invest. IF'!B19</f>
        <v>Retiro</v>
      </c>
      <c r="D19" s="7">
        <f>'Invest. IF'!C19</f>
        <v>55</v>
      </c>
      <c r="E19" s="32" t="str">
        <f>'Invest. IF'!D19</f>
        <v>El Alamo 3</v>
      </c>
      <c r="F19" s="32" t="str">
        <f>'Invest. IF'!E19</f>
        <v>4.8.1</v>
      </c>
      <c r="G19" s="32" t="str">
        <f>'Invest. IF'!F19</f>
        <v>Quema no avisada con fines de limpieza en canales, cunetas, cercos o caminos (en predios particulares o públicos) que se propaga libre y sin control</v>
      </c>
      <c r="H19" s="32" t="str">
        <f>'Invest. IF'!G19</f>
        <v>4.8</v>
      </c>
      <c r="I19" s="32" t="str">
        <f>'Invest. IF'!H19</f>
        <v>Otras quemas</v>
      </c>
      <c r="J19" s="32" t="str">
        <f>'Invest. IF'!I19</f>
        <v>Negligentes</v>
      </c>
      <c r="K19" s="32" t="str">
        <f>'Invest. IF'!M19</f>
        <v>Noviembre</v>
      </c>
      <c r="L19" s="32" t="str">
        <f>'Invest. IF'!N19</f>
        <v>ITA_N-18_R20-EL ALAMO 3_NR-55</v>
      </c>
      <c r="M19" s="32" t="str">
        <f>'Invest. IF'!O19</f>
        <v>Linares</v>
      </c>
      <c r="N19" s="32">
        <f>'Invest. IF'!J19</f>
        <v>254865</v>
      </c>
      <c r="O19" s="32">
        <f>'Invest. IF'!K19</f>
        <v>6002478</v>
      </c>
    </row>
    <row r="20" spans="1:15" x14ac:dyDescent="0.2">
      <c r="A20" s="36">
        <f>'Invest. IF'!A20</f>
        <v>19</v>
      </c>
      <c r="B20" s="21" t="e">
        <f>'Invest. IF'!#REF!</f>
        <v>#REF!</v>
      </c>
      <c r="C20" s="32" t="str">
        <f>'Invest. IF'!B20</f>
        <v>Retiro</v>
      </c>
      <c r="D20" s="7">
        <f>'Invest. IF'!C20</f>
        <v>46</v>
      </c>
      <c r="E20" s="32" t="str">
        <f>'Invest. IF'!D20</f>
        <v>San Isidro</v>
      </c>
      <c r="F20" s="32" t="str">
        <f>'Invest. IF'!E20</f>
        <v>4.2.8</v>
      </c>
      <c r="G20" s="32" t="str">
        <f>'Invest. IF'!F20</f>
        <v>Otras causas negligentes no clasificadas en faenas agrícolas y pecuarias</v>
      </c>
      <c r="H20" s="32" t="str">
        <f>'Invest. IF'!G20</f>
        <v>4.2</v>
      </c>
      <c r="I20" s="32" t="str">
        <f>'Invest. IF'!H20</f>
        <v>Faenas agrícolas y pecuarias</v>
      </c>
      <c r="J20" s="32" t="str">
        <f>'Invest. IF'!I20</f>
        <v>Negligentes</v>
      </c>
      <c r="K20" s="32" t="str">
        <f>'Invest. IF'!M20</f>
        <v>Noviembre</v>
      </c>
      <c r="L20" s="32" t="str">
        <f>'Invest. IF'!N20</f>
        <v>ITA_N-19_R20-SAN ISIDRO_NR-46</v>
      </c>
      <c r="M20" s="32" t="str">
        <f>'Invest. IF'!O20</f>
        <v>Linares</v>
      </c>
      <c r="N20" s="32">
        <f>'Invest. IF'!J20</f>
        <v>256162</v>
      </c>
      <c r="O20" s="32">
        <f>'Invest. IF'!K20</f>
        <v>6002688</v>
      </c>
    </row>
    <row r="21" spans="1:15" x14ac:dyDescent="0.2">
      <c r="A21" s="36">
        <f>'Invest. IF'!A21</f>
        <v>20</v>
      </c>
      <c r="B21" s="21" t="e">
        <f>'Invest. IF'!#REF!</f>
        <v>#REF!</v>
      </c>
      <c r="C21" s="32" t="str">
        <f>'Invest. IF'!B21</f>
        <v>Longaví</v>
      </c>
      <c r="D21" s="7">
        <f>'Invest. IF'!C21</f>
        <v>57</v>
      </c>
      <c r="E21" s="32" t="str">
        <f>'Invest. IF'!D21</f>
        <v>Llano las Piedras</v>
      </c>
      <c r="F21" s="32" t="str">
        <f>'Invest. IF'!E21</f>
        <v>4.2.8</v>
      </c>
      <c r="G21" s="32" t="str">
        <f>'Invest. IF'!F21</f>
        <v>Otras causas negligentes no clasificadas en faenas agrícolas y pecuarias</v>
      </c>
      <c r="H21" s="32" t="str">
        <f>'Invest. IF'!G21</f>
        <v>4.2</v>
      </c>
      <c r="I21" s="32" t="str">
        <f>'Invest. IF'!H21</f>
        <v>Faenas agrícolas y pecuarias</v>
      </c>
      <c r="J21" s="32" t="str">
        <f>'Invest. IF'!I21</f>
        <v>Negligentes</v>
      </c>
      <c r="K21" s="32" t="str">
        <f>'Invest. IF'!M21</f>
        <v>Noviembre</v>
      </c>
      <c r="L21" s="32" t="str">
        <f>'Invest. IF'!N21</f>
        <v>ITA_N-20_R20-LLANO LAS PIEDRAS_NR-57</v>
      </c>
      <c r="M21" s="32" t="str">
        <f>'Invest. IF'!O21</f>
        <v>Linares</v>
      </c>
      <c r="N21" s="32">
        <f>'Invest. IF'!J21</f>
        <v>262049</v>
      </c>
      <c r="O21" s="32">
        <f>'Invest. IF'!K21</f>
        <v>5999722</v>
      </c>
    </row>
    <row r="22" spans="1:15" x14ac:dyDescent="0.2">
      <c r="A22" s="36">
        <f>'Invest. IF'!A22</f>
        <v>21</v>
      </c>
      <c r="B22" s="21" t="e">
        <f>'Invest. IF'!#REF!</f>
        <v>#REF!</v>
      </c>
      <c r="C22" s="32" t="str">
        <f>'Invest. IF'!B22</f>
        <v>Chanco</v>
      </c>
      <c r="D22" s="7">
        <f>'Invest. IF'!C22</f>
        <v>38</v>
      </c>
      <c r="E22" s="32" t="str">
        <f>'Invest. IF'!D22</f>
        <v>San Francisco</v>
      </c>
      <c r="F22" s="32" t="str">
        <f>'Invest. IF'!E22</f>
        <v>4.8.1</v>
      </c>
      <c r="G22" s="32" t="str">
        <f>'Invest. IF'!F22</f>
        <v>Quema no avisada con fines de limpieza en canales, cunetas, cercos o caminos (en predios particulares o públicos) que se propaga libre y sin control</v>
      </c>
      <c r="H22" s="32" t="str">
        <f>'Invest. IF'!G22</f>
        <v>4.8</v>
      </c>
      <c r="I22" s="32" t="str">
        <f>'Invest. IF'!H22</f>
        <v>Otras quemas</v>
      </c>
      <c r="J22" s="32" t="str">
        <f>'Invest. IF'!I22</f>
        <v>Negligentes</v>
      </c>
      <c r="K22" s="32" t="str">
        <f>'Invest. IF'!M22</f>
        <v>Noviembre</v>
      </c>
      <c r="L22" s="32" t="str">
        <f>'Invest. IF'!N22</f>
        <v>ITA_N-21_R20-SAN FRANCISCO_NR-38</v>
      </c>
      <c r="M22" s="32" t="str">
        <f>'Invest. IF'!O22</f>
        <v>Cauquenes</v>
      </c>
      <c r="N22" s="32">
        <f>'Invest. IF'!J22</f>
        <v>725013</v>
      </c>
      <c r="O22" s="32">
        <f>'Invest. IF'!K22</f>
        <v>6042207</v>
      </c>
    </row>
    <row r="23" spans="1:15" x14ac:dyDescent="0.2">
      <c r="A23" s="36">
        <f>'Invest. IF'!A23</f>
        <v>22</v>
      </c>
      <c r="B23" s="21" t="e">
        <f>'Invest. IF'!#REF!</f>
        <v>#REF!</v>
      </c>
      <c r="C23" s="32" t="str">
        <f>'Invest. IF'!B23</f>
        <v>Chanco</v>
      </c>
      <c r="D23" s="7">
        <f>'Invest. IF'!C23</f>
        <v>30</v>
      </c>
      <c r="E23" s="32" t="str">
        <f>'Invest. IF'!D23</f>
        <v>Las Gredas</v>
      </c>
      <c r="F23" s="32" t="str">
        <f>'Invest. IF'!E23</f>
        <v>4.8.1</v>
      </c>
      <c r="G23" s="32" t="str">
        <f>'Invest. IF'!F23</f>
        <v>Quema no avisada con fines de limpieza en canales, cunetas, cercos o caminos (en predios particulares o públicos) que se propaga libre y sin control</v>
      </c>
      <c r="H23" s="32" t="str">
        <f>'Invest. IF'!G23</f>
        <v>4.8</v>
      </c>
      <c r="I23" s="32" t="str">
        <f>'Invest. IF'!H23</f>
        <v>Otras quemas</v>
      </c>
      <c r="J23" s="32" t="str">
        <f>'Invest. IF'!I23</f>
        <v>Negligentes</v>
      </c>
      <c r="K23" s="32" t="str">
        <f>'Invest. IF'!M23</f>
        <v>Noviembre</v>
      </c>
      <c r="L23" s="32" t="str">
        <f>'Invest. IF'!N23</f>
        <v>ITA_N-22_R20-LAS GREDAS_NR-30</v>
      </c>
      <c r="M23" s="32" t="str">
        <f>'Invest. IF'!O23</f>
        <v>Cauquenes</v>
      </c>
      <c r="N23" s="32">
        <f>'Invest. IF'!J23</f>
        <v>721924</v>
      </c>
      <c r="O23" s="32">
        <f>'Invest. IF'!K23</f>
        <v>6055670</v>
      </c>
    </row>
    <row r="24" spans="1:15" x14ac:dyDescent="0.2">
      <c r="A24" s="36">
        <f>'Invest. IF'!A24</f>
        <v>23</v>
      </c>
      <c r="B24" s="21" t="e">
        <f>'Invest. IF'!#REF!</f>
        <v>#REF!</v>
      </c>
      <c r="C24" s="32" t="str">
        <f>'Invest. IF'!B24</f>
        <v>Curicó</v>
      </c>
      <c r="D24" s="7">
        <f>'Invest. IF'!C24</f>
        <v>61</v>
      </c>
      <c r="E24" s="32" t="str">
        <f>'Invest. IF'!D24</f>
        <v>Santa Lucila</v>
      </c>
      <c r="F24" s="32" t="str">
        <f>'Invest. IF'!E24</f>
        <v>4.2.1</v>
      </c>
      <c r="G24" s="32" t="str">
        <f>'Invest. IF'!F24</f>
        <v>Quema no avisada de desechos agrícolas que se propaga libre y sin control</v>
      </c>
      <c r="H24" s="32" t="str">
        <f>'Invest. IF'!G24</f>
        <v>4.2</v>
      </c>
      <c r="I24" s="32" t="str">
        <f>'Invest. IF'!H24</f>
        <v>Faenas agrícolas y pecuarias</v>
      </c>
      <c r="J24" s="32" t="str">
        <f>'Invest. IF'!I24</f>
        <v>Negligentes</v>
      </c>
      <c r="K24" s="32" t="str">
        <f>'Invest. IF'!M24</f>
        <v>Noviembre</v>
      </c>
      <c r="L24" s="32" t="str">
        <f>'Invest. IF'!N24</f>
        <v>ITA_N-23_R20-SANTA LUCILA_NR-61</v>
      </c>
      <c r="M24" s="32" t="str">
        <f>'Invest. IF'!O24</f>
        <v>Curicó</v>
      </c>
      <c r="N24" s="32">
        <f>'Invest. IF'!J24</f>
        <v>302601</v>
      </c>
      <c r="O24" s="32">
        <f>'Invest. IF'!K24</f>
        <v>6114913</v>
      </c>
    </row>
    <row r="25" spans="1:15" x14ac:dyDescent="0.2">
      <c r="A25" s="36">
        <f>'Invest. IF'!A25</f>
        <v>24</v>
      </c>
      <c r="B25" s="21" t="e">
        <f>'Invest. IF'!#REF!</f>
        <v>#REF!</v>
      </c>
      <c r="C25" s="32" t="str">
        <f>'Invest. IF'!B25</f>
        <v>Talca</v>
      </c>
      <c r="D25" s="7">
        <f>'Invest. IF'!C25</f>
        <v>47</v>
      </c>
      <c r="E25" s="32" t="str">
        <f>'Invest. IF'!D25</f>
        <v xml:space="preserve">El Descanso </v>
      </c>
      <c r="F25" s="32" t="str">
        <f>'Invest. IF'!E25</f>
        <v>4.2.8</v>
      </c>
      <c r="G25" s="32" t="str">
        <f>'Invest. IF'!F25</f>
        <v>Otras causas negligentes no clasificadas en faenas agrícolas y pecuarias</v>
      </c>
      <c r="H25" s="32" t="str">
        <f>'Invest. IF'!G25</f>
        <v>4.2</v>
      </c>
      <c r="I25" s="32" t="str">
        <f>'Invest. IF'!H25</f>
        <v>Faenas agrícolas y pecuarias</v>
      </c>
      <c r="J25" s="32" t="str">
        <f>'Invest. IF'!I25</f>
        <v>Negligentes</v>
      </c>
      <c r="K25" s="32" t="str">
        <f>'Invest. IF'!M25</f>
        <v>Noviembre</v>
      </c>
      <c r="L25" s="32" t="str">
        <f>'Invest. IF'!N25</f>
        <v>ITA_N-24_R20-EL DESCANSO_NR-47</v>
      </c>
      <c r="M25" s="32" t="str">
        <f>'Invest. IF'!O25</f>
        <v>Talca</v>
      </c>
      <c r="N25" s="32">
        <f>'Invest. IF'!J25</f>
        <v>268162</v>
      </c>
      <c r="O25" s="32">
        <f>'Invest. IF'!K25</f>
        <v>6080988</v>
      </c>
    </row>
    <row r="26" spans="1:15" x14ac:dyDescent="0.2">
      <c r="A26" s="36">
        <f>'Invest. IF'!A26</f>
        <v>25</v>
      </c>
      <c r="B26" s="21" t="e">
        <f>'Invest. IF'!#REF!</f>
        <v>#REF!</v>
      </c>
      <c r="C26" s="32" t="str">
        <f>'Invest. IF'!B26</f>
        <v>Pelarco</v>
      </c>
      <c r="D26" s="7">
        <f>'Invest. IF'!C26</f>
        <v>62</v>
      </c>
      <c r="E26" s="32" t="str">
        <f>'Invest. IF'!D26</f>
        <v>San Adolfo</v>
      </c>
      <c r="F26" s="32" t="str">
        <f>'Invest. IF'!E26</f>
        <v>4.2.8</v>
      </c>
      <c r="G26" s="32" t="str">
        <f>'Invest. IF'!F26</f>
        <v>Otras causas negligentes no clasificadas en faenas agrícolas y pecuarias</v>
      </c>
      <c r="H26" s="32" t="str">
        <f>'Invest. IF'!G26</f>
        <v>4.2</v>
      </c>
      <c r="I26" s="32" t="str">
        <f>'Invest. IF'!H26</f>
        <v>Faenas agrícolas y pecuarias</v>
      </c>
      <c r="J26" s="32" t="str">
        <f>'Invest. IF'!I26</f>
        <v>Negligentes</v>
      </c>
      <c r="K26" s="32" t="str">
        <f>'Invest. IF'!M26</f>
        <v>Noviembre</v>
      </c>
      <c r="L26" s="32" t="str">
        <f>'Invest. IF'!N26</f>
        <v>ITA_N-25_R20-SAN ADOLFO_NR-62</v>
      </c>
      <c r="M26" s="32" t="str">
        <f>'Invest. IF'!O26</f>
        <v>Talca</v>
      </c>
      <c r="N26" s="32">
        <f>'Invest. IF'!J26</f>
        <v>289418</v>
      </c>
      <c r="O26" s="32">
        <f>'Invest. IF'!K26</f>
        <v>6083948</v>
      </c>
    </row>
    <row r="27" spans="1:15" x14ac:dyDescent="0.2">
      <c r="A27" s="36">
        <f>'Invest. IF'!A27</f>
        <v>26</v>
      </c>
      <c r="B27" s="21" t="e">
        <f>'Invest. IF'!#REF!</f>
        <v>#REF!</v>
      </c>
      <c r="C27" s="32" t="str">
        <f>'Invest. IF'!B27</f>
        <v>San Javier</v>
      </c>
      <c r="D27" s="7">
        <f>'Invest. IF'!C27</f>
        <v>48</v>
      </c>
      <c r="E27" s="32" t="str">
        <f>'Invest. IF'!D27</f>
        <v>San Cayetano</v>
      </c>
      <c r="F27" s="32" t="str">
        <f>'Invest. IF'!E27</f>
        <v>4.8.2</v>
      </c>
      <c r="G27" s="32" t="str">
        <f>'Invest. IF'!F27</f>
        <v>Quema de basura residencial o desechos vegetales</v>
      </c>
      <c r="H27" s="32" t="str">
        <f>'Invest. IF'!G27</f>
        <v>4.8</v>
      </c>
      <c r="I27" s="32" t="str">
        <f>'Invest. IF'!H27</f>
        <v>Otras quemas</v>
      </c>
      <c r="J27" s="32" t="str">
        <f>'Invest. IF'!I27</f>
        <v>Negligentes</v>
      </c>
      <c r="K27" s="32" t="str">
        <f>'Invest. IF'!M27</f>
        <v>Noviembre</v>
      </c>
      <c r="L27" s="32" t="str">
        <f>'Invest. IF'!N27</f>
        <v>ITA_N-26_R20-SAN CAYETANO_NR-48</v>
      </c>
      <c r="M27" s="32" t="str">
        <f>'Invest. IF'!O27</f>
        <v>Linares</v>
      </c>
      <c r="N27" s="32">
        <f>'Invest. IF'!J27</f>
        <v>237984</v>
      </c>
      <c r="O27" s="32">
        <f>'Invest. IF'!K27</f>
        <v>6060522</v>
      </c>
    </row>
    <row r="28" spans="1:15" x14ac:dyDescent="0.2">
      <c r="A28" s="36">
        <f>'Invest. IF'!A28</f>
        <v>27</v>
      </c>
      <c r="B28" s="21" t="e">
        <f>'Invest. IF'!#REF!</f>
        <v>#REF!</v>
      </c>
      <c r="C28" s="32" t="str">
        <f>'Invest. IF'!B28</f>
        <v>San Javier</v>
      </c>
      <c r="D28" s="7">
        <f>'Invest. IF'!C28</f>
        <v>59</v>
      </c>
      <c r="E28" s="32" t="str">
        <f>'Invest. IF'!D28</f>
        <v>Lomas de San Francisco</v>
      </c>
      <c r="F28" s="32" t="str">
        <f>'Invest. IF'!E28</f>
        <v>4.9.5</v>
      </c>
      <c r="G28" s="32" t="str">
        <f>'Invest. IF'!F28</f>
        <v>Otras causas eléctricas negligentes no  clasificadas</v>
      </c>
      <c r="H28" s="32" t="str">
        <f>'Invest. IF'!G28</f>
        <v>4.9</v>
      </c>
      <c r="I28" s="32" t="str">
        <f>'Invest. IF'!H28</f>
        <v>Líneas eléctricas</v>
      </c>
      <c r="J28" s="32" t="str">
        <f>'Invest. IF'!I28</f>
        <v>Negligentes</v>
      </c>
      <c r="K28" s="32" t="str">
        <f>'Invest. IF'!M28</f>
        <v>Noviembre</v>
      </c>
      <c r="L28" s="32" t="str">
        <f>'Invest. IF'!N28</f>
        <v>ITA_N-27_R20-LOMAS DE SAN FRANCISCO_NR-59</v>
      </c>
      <c r="M28" s="32" t="str">
        <f>'Invest. IF'!O28</f>
        <v>Linares</v>
      </c>
      <c r="N28" s="32">
        <f>'Invest. IF'!J28</f>
        <v>242910</v>
      </c>
      <c r="O28" s="32">
        <f>'Invest. IF'!K28</f>
        <v>6056575</v>
      </c>
    </row>
    <row r="29" spans="1:15" x14ac:dyDescent="0.2">
      <c r="A29" s="36">
        <f>'Invest. IF'!A29</f>
        <v>28</v>
      </c>
      <c r="B29" s="21" t="e">
        <f>'Invest. IF'!#REF!</f>
        <v>#REF!</v>
      </c>
      <c r="C29" s="32" t="str">
        <f>'Invest. IF'!B29</f>
        <v>Maule</v>
      </c>
      <c r="D29" s="7">
        <f>'Invest. IF'!C29</f>
        <v>36</v>
      </c>
      <c r="E29" s="32" t="str">
        <f>'Invest. IF'!D29</f>
        <v>Santa Raquel</v>
      </c>
      <c r="F29" s="32" t="str">
        <f>'Invest. IF'!E29</f>
        <v>4.2.8</v>
      </c>
      <c r="G29" s="32" t="str">
        <f>'Invest. IF'!F29</f>
        <v>Otras causas negligentes no clasificadas en faenas agrícolas y pecuarias</v>
      </c>
      <c r="H29" s="32" t="str">
        <f>'Invest. IF'!G29</f>
        <v>4.2</v>
      </c>
      <c r="I29" s="32" t="str">
        <f>'Invest. IF'!H29</f>
        <v>Faenas agrícolas y pecuarias</v>
      </c>
      <c r="J29" s="32" t="str">
        <f>'Invest. IF'!I29</f>
        <v>Negligentes</v>
      </c>
      <c r="K29" s="32" t="str">
        <f>'Invest. IF'!M29</f>
        <v>Noviembre</v>
      </c>
      <c r="L29" s="32" t="str">
        <f>'Invest. IF'!N29</f>
        <v>ITA_N-28_R20-SANTA RAQUEL_NR-36</v>
      </c>
      <c r="M29" s="32" t="str">
        <f>'Invest. IF'!O29</f>
        <v>Talca</v>
      </c>
      <c r="N29" s="32">
        <f>'Invest. IF'!J29</f>
        <v>260507</v>
      </c>
      <c r="O29" s="32">
        <f>'Invest. IF'!K29</f>
        <v>6070752</v>
      </c>
    </row>
    <row r="30" spans="1:15" x14ac:dyDescent="0.2">
      <c r="A30" s="36">
        <f>'Invest. IF'!A30</f>
        <v>29</v>
      </c>
      <c r="B30" s="21" t="e">
        <f>'Invest. IF'!#REF!</f>
        <v>#REF!</v>
      </c>
      <c r="C30" s="32" t="str">
        <f>'Invest. IF'!B30</f>
        <v>Maule</v>
      </c>
      <c r="D30" s="7">
        <f>'Invest. IF'!C30</f>
        <v>68</v>
      </c>
      <c r="E30" s="32" t="str">
        <f>'Invest. IF'!D30</f>
        <v>Chacarillas</v>
      </c>
      <c r="F30" s="32" t="str">
        <f>'Invest. IF'!E30</f>
        <v>4.2.8</v>
      </c>
      <c r="G30" s="32" t="str">
        <f>'Invest. IF'!F30</f>
        <v>Otras causas negligentes no clasificadas en faenas agrícolas y pecuarias</v>
      </c>
      <c r="H30" s="32" t="str">
        <f>'Invest. IF'!G30</f>
        <v>4.2</v>
      </c>
      <c r="I30" s="32" t="str">
        <f>'Invest. IF'!H30</f>
        <v>Faenas agrícolas y pecuarias</v>
      </c>
      <c r="J30" s="32" t="str">
        <f>'Invest. IF'!I30</f>
        <v>Negligentes</v>
      </c>
      <c r="K30" s="32" t="str">
        <f>'Invest. IF'!M30</f>
        <v>Noviembre</v>
      </c>
      <c r="L30" s="32" t="str">
        <f>'Invest. IF'!N30</f>
        <v>ITA_N-29_R20-CHACARILLAS_NR-68</v>
      </c>
      <c r="M30" s="32" t="str">
        <f>'Invest. IF'!O30</f>
        <v>Talca</v>
      </c>
      <c r="N30" s="32">
        <f>'Invest. IF'!J30</f>
        <v>259081</v>
      </c>
      <c r="O30" s="32">
        <f>'Invest. IF'!K30</f>
        <v>6069979</v>
      </c>
    </row>
    <row r="31" spans="1:15" x14ac:dyDescent="0.2">
      <c r="A31" s="36">
        <f>'Invest. IF'!A31</f>
        <v>30</v>
      </c>
      <c r="B31" s="21" t="e">
        <f>'Invest. IF'!#REF!</f>
        <v>#REF!</v>
      </c>
      <c r="C31" s="32" t="str">
        <f>'Invest. IF'!B31</f>
        <v>Maule</v>
      </c>
      <c r="D31" s="7">
        <f>'Invest. IF'!C31</f>
        <v>64</v>
      </c>
      <c r="E31" s="32" t="str">
        <f>'Invest. IF'!D31</f>
        <v>Puente Maule</v>
      </c>
      <c r="F31" s="32" t="str">
        <f>'Invest. IF'!E31</f>
        <v>4.10.10</v>
      </c>
      <c r="G31" s="32" t="str">
        <f>'Invest. IF'!F31</f>
        <v>Empleo de fuentes de calor para eliminar recubrimiento de  conductores eléctricos</v>
      </c>
      <c r="H31" s="32" t="str">
        <f>'Invest. IF'!G31</f>
        <v>4.10</v>
      </c>
      <c r="I31" s="32" t="str">
        <f>'Invest. IF'!H31</f>
        <v>Otras causas</v>
      </c>
      <c r="J31" s="32" t="str">
        <f>'Invest. IF'!I31</f>
        <v>Negligentes</v>
      </c>
      <c r="K31" s="32" t="str">
        <f>'Invest. IF'!M31</f>
        <v>Noviembre</v>
      </c>
      <c r="L31" s="32" t="str">
        <f>'Invest. IF'!N31</f>
        <v>ITA_N-30_R20-PUENTE MAULE_NR-64</v>
      </c>
      <c r="M31" s="32" t="str">
        <f>'Invest. IF'!O31</f>
        <v>Talca</v>
      </c>
      <c r="N31" s="32">
        <f>'Invest. IF'!J31</f>
        <v>255464</v>
      </c>
      <c r="O31" s="32">
        <f>'Invest. IF'!K31</f>
        <v>6062545</v>
      </c>
    </row>
    <row r="32" spans="1:15" x14ac:dyDescent="0.2">
      <c r="A32" s="36">
        <f>'Invest. IF'!A32</f>
        <v>31</v>
      </c>
      <c r="B32" s="21" t="e">
        <f>'Invest. IF'!#REF!</f>
        <v>#REF!</v>
      </c>
      <c r="C32" s="32" t="str">
        <f>'Invest. IF'!B32</f>
        <v>Longaví</v>
      </c>
      <c r="D32" s="7">
        <f>'Invest. IF'!C32</f>
        <v>74</v>
      </c>
      <c r="E32" s="32" t="str">
        <f>'Invest. IF'!D32</f>
        <v>La Tercera</v>
      </c>
      <c r="F32" s="32" t="str">
        <f>'Invest. IF'!E32</f>
        <v>4.6.5</v>
      </c>
      <c r="G32" s="32" t="str">
        <f>'Invest. IF'!F32</f>
        <v>Empleo de fuentes de calor en actividades relacionadas a parcelaciones (asados, tijerales, fogatas, otros)</v>
      </c>
      <c r="H32" s="32" t="str">
        <f>'Invest. IF'!G32</f>
        <v>4.6</v>
      </c>
      <c r="I32" s="32" t="str">
        <f>'Invest. IF'!H32</f>
        <v>Parcelaciones, edificaciones residenciales, industriales u otras en zonas rurales o de interfaz</v>
      </c>
      <c r="J32" s="32" t="str">
        <f>'Invest. IF'!I32</f>
        <v>Negligentes</v>
      </c>
      <c r="K32" s="32" t="str">
        <f>'Invest. IF'!M32</f>
        <v>Noviembre</v>
      </c>
      <c r="L32" s="32" t="str">
        <f>'Invest. IF'!N32</f>
        <v>ITA_N-31_R20-LA TERCERA_NR-74</v>
      </c>
      <c r="M32" s="32" t="str">
        <f>'Invest. IF'!O32</f>
        <v>Linares</v>
      </c>
      <c r="N32" s="32">
        <f>'Invest. IF'!J32</f>
        <v>264223</v>
      </c>
      <c r="O32" s="32">
        <f>'Invest. IF'!K32</f>
        <v>6010205</v>
      </c>
    </row>
    <row r="33" spans="1:15" x14ac:dyDescent="0.2">
      <c r="A33" s="36">
        <f>'Invest. IF'!A33</f>
        <v>32</v>
      </c>
      <c r="B33" s="21" t="e">
        <f>'Invest. IF'!#REF!</f>
        <v>#REF!</v>
      </c>
      <c r="C33" s="32" t="str">
        <f>'Invest. IF'!B33</f>
        <v>Linares</v>
      </c>
      <c r="D33" s="7">
        <f>'Invest. IF'!C33</f>
        <v>41</v>
      </c>
      <c r="E33" s="32" t="str">
        <f>'Invest. IF'!D33</f>
        <v>La Obra- La Higuera</v>
      </c>
      <c r="F33" s="32" t="str">
        <f>'Invest. IF'!E33</f>
        <v>4.2.8</v>
      </c>
      <c r="G33" s="32" t="str">
        <f>'Invest. IF'!F33</f>
        <v>Otras causas negligentes no clasificadas en faenas agrícolas y pecuarias</v>
      </c>
      <c r="H33" s="32" t="str">
        <f>'Invest. IF'!G33</f>
        <v>4.2</v>
      </c>
      <c r="I33" s="32" t="str">
        <f>'Invest. IF'!H33</f>
        <v>Faenas agrícolas y pecuarias</v>
      </c>
      <c r="J33" s="32" t="str">
        <f>'Invest. IF'!I33</f>
        <v>Negligentes</v>
      </c>
      <c r="K33" s="32" t="str">
        <f>'Invest. IF'!M33</f>
        <v>Noviembre</v>
      </c>
      <c r="L33" s="32" t="str">
        <f>'Invest. IF'!N33</f>
        <v>ITA_N-32_R20-LA OBRA- LA HIGUERA_NR-41</v>
      </c>
      <c r="M33" s="32" t="str">
        <f>'Invest. IF'!O33</f>
        <v>Linares</v>
      </c>
      <c r="N33" s="32">
        <f>'Invest. IF'!J33</f>
        <v>256511</v>
      </c>
      <c r="O33" s="32">
        <f>'Invest. IF'!K33</f>
        <v>6033894</v>
      </c>
    </row>
    <row r="34" spans="1:15" x14ac:dyDescent="0.2">
      <c r="A34" s="36">
        <f>'Invest. IF'!A34</f>
        <v>33</v>
      </c>
      <c r="B34" s="21" t="e">
        <f>'Invest. IF'!#REF!</f>
        <v>#REF!</v>
      </c>
      <c r="C34" s="32" t="str">
        <f>'Invest. IF'!B34</f>
        <v>Pencahue</v>
      </c>
      <c r="D34" s="7">
        <f>'Invest. IF'!C34</f>
        <v>60</v>
      </c>
      <c r="E34" s="32" t="str">
        <f>'Invest. IF'!D34</f>
        <v>Capellanía</v>
      </c>
      <c r="F34" s="32" t="str">
        <f>'Invest. IF'!E34</f>
        <v>1.1.2</v>
      </c>
      <c r="G34" s="32" t="str">
        <f>'Invest. IF'!F34</f>
        <v>Partículas incandescentes generadas por roce de maquinaria o herramienta forestal con rocas, cercos o material metálico</v>
      </c>
      <c r="H34" s="32" t="str">
        <f>'Invest. IF'!G34</f>
        <v>1.1</v>
      </c>
      <c r="I34" s="32" t="str">
        <f>'Invest. IF'!H34</f>
        <v>Faenas forestales</v>
      </c>
      <c r="J34" s="32" t="str">
        <f>'Invest. IF'!I34</f>
        <v>Accidentales</v>
      </c>
      <c r="K34" s="32" t="str">
        <f>'Invest. IF'!M34</f>
        <v>Noviembre</v>
      </c>
      <c r="L34" s="32" t="str">
        <f>'Invest. IF'!N34</f>
        <v>ITA_N-33_R20-CAPELLANIA_NR-60</v>
      </c>
      <c r="M34" s="32" t="str">
        <f>'Invest. IF'!O34</f>
        <v>Talca</v>
      </c>
      <c r="N34" s="32">
        <f>'Invest. IF'!J34</f>
        <v>254198</v>
      </c>
      <c r="O34" s="32">
        <f>'Invest. IF'!K34</f>
        <v>6086425</v>
      </c>
    </row>
    <row r="35" spans="1:15" x14ac:dyDescent="0.2">
      <c r="A35" s="36">
        <f>'Invest. IF'!A35</f>
        <v>34</v>
      </c>
      <c r="B35" s="21" t="e">
        <f>'Invest. IF'!#REF!</f>
        <v>#REF!</v>
      </c>
      <c r="C35" s="32" t="str">
        <f>'Invest. IF'!B35</f>
        <v>Talca</v>
      </c>
      <c r="D35" s="7">
        <f>'Invest. IF'!C35</f>
        <v>76</v>
      </c>
      <c r="E35" s="32" t="str">
        <f>'Invest. IF'!D35</f>
        <v>El Tabaco</v>
      </c>
      <c r="F35" s="32" t="str">
        <f>'Invest. IF'!E35</f>
        <v>4.10.11</v>
      </c>
      <c r="G35" s="32" t="str">
        <f>'Invest. IF'!F35</f>
        <v>Empleo de fuentes de calor por personas en situación de calle</v>
      </c>
      <c r="H35" s="32" t="str">
        <f>'Invest. IF'!G35</f>
        <v>4.10</v>
      </c>
      <c r="I35" s="32" t="str">
        <f>'Invest. IF'!H35</f>
        <v>Otras causas</v>
      </c>
      <c r="J35" s="32" t="str">
        <f>'Invest. IF'!I35</f>
        <v>Negligentes</v>
      </c>
      <c r="K35" s="32" t="str">
        <f>'Invest. IF'!M35</f>
        <v>Noviembre</v>
      </c>
      <c r="L35" s="32" t="str">
        <f>'Invest. IF'!N35</f>
        <v>ITA_N-34_R20-EL TABACO_NR-76</v>
      </c>
      <c r="M35" s="32" t="str">
        <f>'Invest. IF'!O35</f>
        <v>Talca</v>
      </c>
      <c r="N35" s="32">
        <f>'Invest. IF'!J35</f>
        <v>260194</v>
      </c>
      <c r="O35" s="32">
        <f>'Invest. IF'!K35</f>
        <v>6073638</v>
      </c>
    </row>
    <row r="36" spans="1:15" x14ac:dyDescent="0.2">
      <c r="A36" s="36">
        <f>'Invest. IF'!A36</f>
        <v>35</v>
      </c>
      <c r="B36" s="21" t="e">
        <f>'Invest. IF'!#REF!</f>
        <v>#REF!</v>
      </c>
      <c r="C36" s="32" t="str">
        <f>'Invest. IF'!B36</f>
        <v>Constitución</v>
      </c>
      <c r="D36" s="7">
        <f>'Invest. IF'!C36</f>
        <v>52</v>
      </c>
      <c r="E36" s="32" t="str">
        <f>'Invest. IF'!D36</f>
        <v>Rinconada</v>
      </c>
      <c r="F36" s="32" t="str">
        <f>'Invest. IF'!E36</f>
        <v>4.10.4</v>
      </c>
      <c r="G36" s="32" t="str">
        <f>'Invest. IF'!F36</f>
        <v>Acciones asociadas a fumar</v>
      </c>
      <c r="H36" s="32" t="str">
        <f>'Invest. IF'!G36</f>
        <v>4.10</v>
      </c>
      <c r="I36" s="32" t="str">
        <f>'Invest. IF'!H36</f>
        <v>Otras causas</v>
      </c>
      <c r="J36" s="32" t="str">
        <f>'Invest. IF'!I36</f>
        <v>Negligentes</v>
      </c>
      <c r="K36" s="32" t="str">
        <f>'Invest. IF'!M36</f>
        <v>Noviembre</v>
      </c>
      <c r="L36" s="32" t="str">
        <f>'Invest. IF'!N36</f>
        <v>ITA_N-35_R20-RINCONADA_NR-52</v>
      </c>
      <c r="M36" s="32" t="str">
        <f>'Invest. IF'!O36</f>
        <v>Talca</v>
      </c>
      <c r="N36" s="32">
        <f>'Invest. IF'!J36</f>
        <v>750172</v>
      </c>
      <c r="O36" s="32">
        <f>'Invest. IF'!K36</f>
        <v>6070867</v>
      </c>
    </row>
    <row r="37" spans="1:15" x14ac:dyDescent="0.2">
      <c r="A37" s="36">
        <f>'Invest. IF'!A37</f>
        <v>36</v>
      </c>
      <c r="B37" s="21" t="e">
        <f>'Invest. IF'!#REF!</f>
        <v>#REF!</v>
      </c>
      <c r="C37" s="32" t="str">
        <f>'Invest. IF'!B37</f>
        <v>Constitución</v>
      </c>
      <c r="D37" s="7">
        <f>'Invest. IF'!C37</f>
        <v>15</v>
      </c>
      <c r="E37" s="32" t="str">
        <f>'Invest. IF'!D37</f>
        <v>Barranquilla</v>
      </c>
      <c r="F37" s="32" t="str">
        <f>'Invest. IF'!E37</f>
        <v>4.9.1</v>
      </c>
      <c r="G37" s="32" t="str">
        <f>'Invest. IF'!F37</f>
        <v>Combustión de la vegetación, producto del contacto o proximidad con el tendido eléctrico</v>
      </c>
      <c r="H37" s="32" t="str">
        <f>'Invest. IF'!G37</f>
        <v>4.9</v>
      </c>
      <c r="I37" s="32" t="str">
        <f>'Invest. IF'!H37</f>
        <v>Líneas eléctricas</v>
      </c>
      <c r="J37" s="32" t="str">
        <f>'Invest. IF'!I37</f>
        <v>Negligentes</v>
      </c>
      <c r="K37" s="32" t="str">
        <f>'Invest. IF'!M37</f>
        <v>Noviembre</v>
      </c>
      <c r="L37" s="32" t="str">
        <f>'Invest. IF'!N37</f>
        <v>ITA_N-36_R20-BARRANQUILLA_NR-15</v>
      </c>
      <c r="M37" s="32" t="str">
        <f>'Invest. IF'!O37</f>
        <v>Talca</v>
      </c>
      <c r="N37" s="32">
        <f>'Invest. IF'!J37</f>
        <v>750976</v>
      </c>
      <c r="O37" s="32">
        <f>'Invest. IF'!K37</f>
        <v>6074800</v>
      </c>
    </row>
    <row r="38" spans="1:15" x14ac:dyDescent="0.2">
      <c r="A38" s="36">
        <f>'Invest. IF'!A38</f>
        <v>37</v>
      </c>
      <c r="B38" s="21" t="e">
        <f>'Invest. IF'!#REF!</f>
        <v>#REF!</v>
      </c>
      <c r="C38" s="32" t="str">
        <f>'Invest. IF'!B38</f>
        <v>San Rafael</v>
      </c>
      <c r="D38" s="7">
        <f>'Invest. IF'!C38</f>
        <v>88</v>
      </c>
      <c r="E38" s="32" t="str">
        <f>'Invest. IF'!D38</f>
        <v>Alto Pangue</v>
      </c>
      <c r="F38" s="32" t="str">
        <f>'Invest. IF'!E38</f>
        <v>4.9.2</v>
      </c>
      <c r="G38" s="32" t="str">
        <f>'Invest. IF'!F38</f>
        <v>Corte de conductor eléctrico por caída de rama o árbol (excepto por faena forestal o agrícola)</v>
      </c>
      <c r="H38" s="32" t="str">
        <f>'Invest. IF'!G38</f>
        <v>4.9</v>
      </c>
      <c r="I38" s="32" t="str">
        <f>'Invest. IF'!H38</f>
        <v>Líneas eléctricas</v>
      </c>
      <c r="J38" s="32" t="str">
        <f>'Invest. IF'!I38</f>
        <v>Negligentes</v>
      </c>
      <c r="K38" s="32" t="str">
        <f>'Invest. IF'!M38</f>
        <v>Noviembre</v>
      </c>
      <c r="L38" s="32" t="str">
        <f>'Invest. IF'!N38</f>
        <v>ITA_N-37_R20-ALTO PANGUE_NR-88</v>
      </c>
      <c r="M38" s="32" t="str">
        <f>'Invest. IF'!O38</f>
        <v>Talca</v>
      </c>
      <c r="N38" s="32">
        <f>'Invest. IF'!J38</f>
        <v>265993</v>
      </c>
      <c r="O38" s="32">
        <f>'Invest. IF'!K38</f>
        <v>6085054</v>
      </c>
    </row>
    <row r="39" spans="1:15" x14ac:dyDescent="0.2">
      <c r="A39" s="36">
        <f>'Invest. IF'!A39</f>
        <v>38</v>
      </c>
      <c r="B39" s="21" t="e">
        <f>'Invest. IF'!#REF!</f>
        <v>#REF!</v>
      </c>
      <c r="C39" s="32" t="str">
        <f>'Invest. IF'!B39</f>
        <v>San Clemente</v>
      </c>
      <c r="D39" s="7">
        <f>'Invest. IF'!C39</f>
        <v>89</v>
      </c>
      <c r="E39" s="32" t="str">
        <f>'Invest. IF'!D39</f>
        <v>Santa Elena</v>
      </c>
      <c r="F39" s="32" t="str">
        <f>'Invest. IF'!E39</f>
        <v>4.9.2</v>
      </c>
      <c r="G39" s="32" t="str">
        <f>'Invest. IF'!F39</f>
        <v>Corte de conductor eléctrico por caída de rama o árbol (excepto por faena forestal o agrícola)</v>
      </c>
      <c r="H39" s="32" t="str">
        <f>'Invest. IF'!G39</f>
        <v>4.9</v>
      </c>
      <c r="I39" s="32" t="str">
        <f>'Invest. IF'!H39</f>
        <v>Líneas eléctricas</v>
      </c>
      <c r="J39" s="32" t="str">
        <f>'Invest. IF'!I39</f>
        <v>Negligentes</v>
      </c>
      <c r="K39" s="32" t="str">
        <f>'Invest. IF'!M39</f>
        <v>Noviembre</v>
      </c>
      <c r="L39" s="32" t="str">
        <f>'Invest. IF'!N39</f>
        <v>ITA_N-38_R20-SANTA ELENA_NR-89</v>
      </c>
      <c r="M39" s="32" t="str">
        <f>'Invest. IF'!O39</f>
        <v>Talca</v>
      </c>
      <c r="N39" s="32">
        <f>'Invest. IF'!J39</f>
        <v>276660</v>
      </c>
      <c r="O39" s="32">
        <f>'Invest. IF'!K39</f>
        <v>6071376</v>
      </c>
    </row>
    <row r="40" spans="1:15" x14ac:dyDescent="0.2">
      <c r="A40" s="36">
        <f>'Invest. IF'!A40</f>
        <v>39</v>
      </c>
      <c r="B40" s="21" t="e">
        <f>'Invest. IF'!#REF!</f>
        <v>#REF!</v>
      </c>
      <c r="C40" s="32" t="str">
        <f>'Invest. IF'!B40</f>
        <v>Curepto</v>
      </c>
      <c r="D40" s="7">
        <f>'Invest. IF'!C40</f>
        <v>97</v>
      </c>
      <c r="E40" s="32" t="str">
        <f>'Invest. IF'!D40</f>
        <v>La Leonera</v>
      </c>
      <c r="F40" s="32" t="str">
        <f>'Invest. IF'!E40</f>
        <v>1.9.3</v>
      </c>
      <c r="G40" s="32" t="str">
        <f>'Invest. IF'!F40</f>
        <v>Otro accidente eléctrico no clasificado</v>
      </c>
      <c r="H40" s="32" t="str">
        <f>'Invest. IF'!G40</f>
        <v>1.9</v>
      </c>
      <c r="I40" s="32" t="str">
        <f>'Invest. IF'!H40</f>
        <v>Líneas eléctricas</v>
      </c>
      <c r="J40" s="32" t="str">
        <f>'Invest. IF'!I40</f>
        <v>Accidentales</v>
      </c>
      <c r="K40" s="32" t="str">
        <f>'Invest. IF'!M40</f>
        <v>Noviembre</v>
      </c>
      <c r="L40" s="32" t="str">
        <f>'Invest. IF'!N40</f>
        <v>ITA_N-39_R20-LA LEONERA_NR-97</v>
      </c>
      <c r="M40" s="32" t="str">
        <f>'Invest. IF'!O40</f>
        <v>Talca</v>
      </c>
      <c r="N40" s="32">
        <f>'Invest. IF'!J40</f>
        <v>229014</v>
      </c>
      <c r="O40" s="32">
        <f>'Invest. IF'!K40</f>
        <v>6092149</v>
      </c>
    </row>
    <row r="41" spans="1:15" x14ac:dyDescent="0.2">
      <c r="A41" s="36">
        <f>'Invest. IF'!A41</f>
        <v>40</v>
      </c>
      <c r="B41" s="21" t="e">
        <f>'Invest. IF'!#REF!</f>
        <v>#REF!</v>
      </c>
      <c r="C41" s="32" t="str">
        <f>'Invest. IF'!B41</f>
        <v>Molina</v>
      </c>
      <c r="D41" s="7">
        <f>'Invest. IF'!C41</f>
        <v>93</v>
      </c>
      <c r="E41" s="32" t="str">
        <f>'Invest. IF'!D41</f>
        <v>Vista Hermosa</v>
      </c>
      <c r="F41" s="32" t="str">
        <f>'Invest. IF'!E41</f>
        <v>4.2.1</v>
      </c>
      <c r="G41" s="32" t="str">
        <f>'Invest. IF'!F41</f>
        <v>Quema no avisada de desechos agrícolas que se propaga libre y sin control</v>
      </c>
      <c r="H41" s="32" t="str">
        <f>'Invest. IF'!G41</f>
        <v>4.2</v>
      </c>
      <c r="I41" s="32" t="str">
        <f>'Invest. IF'!H41</f>
        <v>Faenas agrícolas y pecuarias</v>
      </c>
      <c r="J41" s="32" t="str">
        <f>'Invest. IF'!I41</f>
        <v>Negligentes</v>
      </c>
      <c r="K41" s="32" t="str">
        <f>'Invest. IF'!M41</f>
        <v>Noviembre</v>
      </c>
      <c r="L41" s="32" t="str">
        <f>'Invest. IF'!N41</f>
        <v>ITA_N-40_R20-VISTA HERMOSA_NR-93</v>
      </c>
      <c r="M41" s="32" t="str">
        <f>'Invest. IF'!O41</f>
        <v>Curicó</v>
      </c>
      <c r="N41" s="32">
        <f>'Invest. IF'!J41</f>
        <v>297511</v>
      </c>
      <c r="O41" s="32">
        <f>'Invest. IF'!K41</f>
        <v>6114816</v>
      </c>
    </row>
    <row r="42" spans="1:15" x14ac:dyDescent="0.2">
      <c r="A42" s="36">
        <f>'Invest. IF'!A42</f>
        <v>41</v>
      </c>
      <c r="B42" s="21" t="e">
        <f>'Invest. IF'!#REF!</f>
        <v>#REF!</v>
      </c>
      <c r="C42" s="32" t="str">
        <f>'Invest. IF'!B42</f>
        <v>Cauquenes</v>
      </c>
      <c r="D42" s="7">
        <f>'Invest. IF'!C42</f>
        <v>152</v>
      </c>
      <c r="E42" s="32" t="str">
        <f>'Invest. IF'!D42</f>
        <v>94- San Eduardo 2</v>
      </c>
      <c r="F42" s="32" t="str">
        <f>'Invest. IF'!E42</f>
        <v>4.9.5</v>
      </c>
      <c r="G42" s="32" t="str">
        <f>'Invest. IF'!F42</f>
        <v>Otras causas eléctricas negligentes no  clasificadas</v>
      </c>
      <c r="H42" s="32" t="str">
        <f>'Invest. IF'!G42</f>
        <v>4.9</v>
      </c>
      <c r="I42" s="32" t="str">
        <f>'Invest. IF'!H42</f>
        <v>Líneas eléctricas</v>
      </c>
      <c r="J42" s="32" t="str">
        <f>'Invest. IF'!I42</f>
        <v>Negligentes</v>
      </c>
      <c r="K42" s="32" t="str">
        <f>'Invest. IF'!M42</f>
        <v>Noviembre</v>
      </c>
      <c r="L42" s="32" t="str">
        <f>'Invest. IF'!N42</f>
        <v>ITA_N-41_R20-SAN EDUARDO 2_NR-94</v>
      </c>
      <c r="M42" s="32" t="str">
        <f>'Invest. IF'!O42</f>
        <v>Cauquenes</v>
      </c>
      <c r="N42" s="32">
        <f>'Invest. IF'!J42</f>
        <v>758189</v>
      </c>
      <c r="O42" s="32">
        <f>'Invest. IF'!K42</f>
        <v>6026494</v>
      </c>
    </row>
    <row r="43" spans="1:15" x14ac:dyDescent="0.2">
      <c r="A43" s="36">
        <f>'Invest. IF'!A43</f>
        <v>42</v>
      </c>
      <c r="B43" s="21" t="e">
        <f>'Invest. IF'!#REF!</f>
        <v>#REF!</v>
      </c>
      <c r="C43" s="32" t="str">
        <f>'Invest. IF'!B43</f>
        <v>Curepto</v>
      </c>
      <c r="D43" s="7">
        <f>'Invest. IF'!C43</f>
        <v>166</v>
      </c>
      <c r="E43" s="32" t="str">
        <f>'Invest. IF'!D43</f>
        <v>97- El Ajial</v>
      </c>
      <c r="F43" s="32" t="str">
        <f>'Invest. IF'!E43</f>
        <v>4.1.3</v>
      </c>
      <c r="G43" s="32" t="str">
        <f>'Invest. IF'!F43</f>
        <v>Contacto o corte de conductor eléctrico producto de faena forestal</v>
      </c>
      <c r="H43" s="32" t="str">
        <f>'Invest. IF'!G43</f>
        <v>4.1</v>
      </c>
      <c r="I43" s="32" t="str">
        <f>'Invest. IF'!H43</f>
        <v>Faenas forestales</v>
      </c>
      <c r="J43" s="32" t="str">
        <f>'Invest. IF'!I43</f>
        <v>Negligentes</v>
      </c>
      <c r="K43" s="32" t="str">
        <f>'Invest. IF'!M43</f>
        <v>Noviembre</v>
      </c>
      <c r="L43" s="32" t="str">
        <f>'Invest. IF'!N43</f>
        <v>ITA_N-42_R20-EL AJIAL_NR-98</v>
      </c>
      <c r="M43" s="32" t="str">
        <f>'Invest. IF'!O43</f>
        <v>Talca</v>
      </c>
      <c r="N43" s="32">
        <f>'Invest. IF'!J43</f>
        <v>254562</v>
      </c>
      <c r="O43" s="32">
        <f>'Invest. IF'!K43</f>
        <v>6108623</v>
      </c>
    </row>
    <row r="44" spans="1:15" x14ac:dyDescent="0.2">
      <c r="A44" s="36">
        <f>'Invest. IF'!A44</f>
        <v>43</v>
      </c>
      <c r="B44" s="21" t="e">
        <f>'Invest. IF'!#REF!</f>
        <v>#REF!</v>
      </c>
      <c r="C44" s="32" t="str">
        <f>'Invest. IF'!B44</f>
        <v>Pelarco</v>
      </c>
      <c r="D44" s="7">
        <f>'Invest. IF'!C44</f>
        <v>92</v>
      </c>
      <c r="E44" s="32" t="str">
        <f>'Invest. IF'!D44</f>
        <v>Cerro Santa Rosa</v>
      </c>
      <c r="F44" s="32" t="str">
        <f>'Invest. IF'!E44</f>
        <v>4.9.1</v>
      </c>
      <c r="G44" s="32" t="str">
        <f>'Invest. IF'!F44</f>
        <v>Combustión de la vegetación, producto del contacto o proximidad con el tendido eléctrico</v>
      </c>
      <c r="H44" s="32" t="str">
        <f>'Invest. IF'!G44</f>
        <v>4.9</v>
      </c>
      <c r="I44" s="32" t="str">
        <f>'Invest. IF'!H44</f>
        <v>Líneas eléctricas</v>
      </c>
      <c r="J44" s="32" t="str">
        <f>'Invest. IF'!I44</f>
        <v>Negligentes</v>
      </c>
      <c r="K44" s="32" t="str">
        <f>'Invest. IF'!M44</f>
        <v>Noviembre</v>
      </c>
      <c r="L44" s="32" t="str">
        <f>'Invest. IF'!N44</f>
        <v>ITA_N-43_R20-CERRO SANTA ROSA_NR-92</v>
      </c>
      <c r="M44" s="32" t="str">
        <f>'Invest. IF'!O44</f>
        <v>Talca</v>
      </c>
      <c r="N44" s="32">
        <f>'Invest. IF'!J44</f>
        <v>285828</v>
      </c>
      <c r="O44" s="32">
        <f>'Invest. IF'!K44</f>
        <v>6076108</v>
      </c>
    </row>
    <row r="45" spans="1:15" x14ac:dyDescent="0.2">
      <c r="A45" s="36">
        <f>'Invest. IF'!A45</f>
        <v>44</v>
      </c>
      <c r="B45" s="21" t="e">
        <f>'Invest. IF'!#REF!</f>
        <v>#REF!</v>
      </c>
      <c r="C45" s="32" t="str">
        <f>'Invest. IF'!B45</f>
        <v>Talca</v>
      </c>
      <c r="D45" s="7">
        <f>'Invest. IF'!C45</f>
        <v>110</v>
      </c>
      <c r="E45" s="32" t="str">
        <f>'Invest. IF'!D45</f>
        <v xml:space="preserve">San Sebastian </v>
      </c>
      <c r="F45" s="32" t="str">
        <f>'Invest. IF'!E45</f>
        <v>4.9.5</v>
      </c>
      <c r="G45" s="32" t="str">
        <f>'Invest. IF'!F45</f>
        <v>Otras causas eléctricas negligentes no  clasificadas</v>
      </c>
      <c r="H45" s="32" t="str">
        <f>'Invest. IF'!G45</f>
        <v>4.9</v>
      </c>
      <c r="I45" s="32" t="str">
        <f>'Invest. IF'!H45</f>
        <v>Líneas eléctricas</v>
      </c>
      <c r="J45" s="32" t="str">
        <f>'Invest. IF'!I45</f>
        <v>Negligentes</v>
      </c>
      <c r="K45" s="32" t="str">
        <f>'Invest. IF'!M45</f>
        <v>Noviembre</v>
      </c>
      <c r="L45" s="32" t="str">
        <f>'Invest. IF'!N45</f>
        <v>ITA_N-44_R20-SAN SEBASTIAN_NR-110</v>
      </c>
      <c r="M45" s="32" t="str">
        <f>'Invest. IF'!O45</f>
        <v>Talca</v>
      </c>
      <c r="N45" s="32">
        <f>'Invest. IF'!J45</f>
        <v>255287</v>
      </c>
      <c r="O45" s="32">
        <f>'Invest. IF'!K45</f>
        <v>6077138</v>
      </c>
    </row>
    <row r="46" spans="1:15" x14ac:dyDescent="0.2">
      <c r="A46" s="36">
        <f>'Invest. IF'!A46</f>
        <v>45</v>
      </c>
      <c r="B46" s="21" t="e">
        <f>'Invest. IF'!#REF!</f>
        <v>#REF!</v>
      </c>
      <c r="C46" s="32" t="str">
        <f>'Invest. IF'!B46</f>
        <v>Río Claro</v>
      </c>
      <c r="D46" s="7">
        <f>'Invest. IF'!C46</f>
        <v>112</v>
      </c>
      <c r="E46" s="32" t="str">
        <f>'Invest. IF'!D46</f>
        <v>San Jorge</v>
      </c>
      <c r="F46" s="32" t="str">
        <f>'Invest. IF'!E46</f>
        <v>4.9.1</v>
      </c>
      <c r="G46" s="32" t="str">
        <f>'Invest. IF'!F46</f>
        <v>Combustión de la vegetación, producto del contacto o proximidad con el tendido eléctrico</v>
      </c>
      <c r="H46" s="32" t="str">
        <f>'Invest. IF'!G46</f>
        <v>4.9</v>
      </c>
      <c r="I46" s="32" t="str">
        <f>'Invest. IF'!H46</f>
        <v>Líneas eléctricas</v>
      </c>
      <c r="J46" s="32" t="str">
        <f>'Invest. IF'!I46</f>
        <v>Negligentes</v>
      </c>
      <c r="K46" s="32" t="str">
        <f>'Invest. IF'!M46</f>
        <v>Noviembre</v>
      </c>
      <c r="L46" s="32" t="str">
        <f>'Invest. IF'!N46</f>
        <v>ITA_N-45_R20-SAN JORGE_NR-110</v>
      </c>
      <c r="M46" s="32" t="str">
        <f>'Invest. IF'!O46</f>
        <v>Talca</v>
      </c>
      <c r="N46" s="32">
        <f>'Invest. IF'!J46</f>
        <v>282870</v>
      </c>
      <c r="O46" s="32">
        <f>'Invest. IF'!K46</f>
        <v>6103191</v>
      </c>
    </row>
    <row r="47" spans="1:15" x14ac:dyDescent="0.2">
      <c r="A47" s="36">
        <f>'Invest. IF'!A47</f>
        <v>46</v>
      </c>
      <c r="B47" s="21" t="e">
        <f>'Invest. IF'!#REF!</f>
        <v>#REF!</v>
      </c>
      <c r="C47" s="32" t="str">
        <f>'Invest. IF'!B47</f>
        <v>Cauquenes</v>
      </c>
      <c r="D47" s="7">
        <f>'Invest. IF'!C47</f>
        <v>90</v>
      </c>
      <c r="E47" s="32" t="str">
        <f>'Invest. IF'!D47</f>
        <v>El Castillo 2</v>
      </c>
      <c r="F47" s="32" t="str">
        <f>'Invest. IF'!E47</f>
        <v>4.8.2</v>
      </c>
      <c r="G47" s="32" t="str">
        <f>'Invest. IF'!F47</f>
        <v>Quema de basura residencial o desechos vegetales</v>
      </c>
      <c r="H47" s="32" t="str">
        <f>'Invest. IF'!G47</f>
        <v>4.8</v>
      </c>
      <c r="I47" s="32" t="str">
        <f>'Invest. IF'!H47</f>
        <v>Otras quemas</v>
      </c>
      <c r="J47" s="32" t="str">
        <f>'Invest. IF'!I47</f>
        <v>Negligentes</v>
      </c>
      <c r="K47" s="32" t="str">
        <f>'Invest. IF'!M47</f>
        <v>Noviembre</v>
      </c>
      <c r="L47" s="32" t="str">
        <f>'Invest. IF'!N47</f>
        <v>ITA_N-46_R20-EL CASTILLO 2_NR-90</v>
      </c>
      <c r="M47" s="32" t="str">
        <f>'Invest. IF'!O47</f>
        <v>Cauquenes</v>
      </c>
      <c r="N47" s="32">
        <f>'Invest. IF'!J47</f>
        <v>735703</v>
      </c>
      <c r="O47" s="32">
        <f>'Invest. IF'!K47</f>
        <v>6021267</v>
      </c>
    </row>
    <row r="48" spans="1:15" x14ac:dyDescent="0.2">
      <c r="A48" s="36">
        <f>'Invest. IF'!A48</f>
        <v>47</v>
      </c>
      <c r="B48" s="21" t="e">
        <f>'Invest. IF'!#REF!</f>
        <v>#REF!</v>
      </c>
      <c r="C48" s="32" t="str">
        <f>'Invest. IF'!B48</f>
        <v>Molina</v>
      </c>
      <c r="D48" s="7">
        <f>'Invest. IF'!C48</f>
        <v>104</v>
      </c>
      <c r="E48" s="32" t="str">
        <f>'Invest. IF'!D48</f>
        <v>Santa Inés</v>
      </c>
      <c r="F48" s="32" t="str">
        <f>'Invest. IF'!E48</f>
        <v>4.6.5</v>
      </c>
      <c r="G48" s="32" t="str">
        <f>'Invest. IF'!F48</f>
        <v>Empleo de fuentes de calor en actividades relacionadas a parcelaciones (asados, tijerales, fogatas, otros)</v>
      </c>
      <c r="H48" s="32" t="str">
        <f>'Invest. IF'!G48</f>
        <v>4.6</v>
      </c>
      <c r="I48" s="32" t="str">
        <f>'Invest. IF'!H48</f>
        <v>Parcelaciones, edificaciones residenciales, industriales u otras en zonas rurales o de interfaz</v>
      </c>
      <c r="J48" s="32" t="str">
        <f>'Invest. IF'!I48</f>
        <v>Negligentes</v>
      </c>
      <c r="K48" s="32" t="str">
        <f>'Invest. IF'!M48</f>
        <v>Noviembre</v>
      </c>
      <c r="L48" s="32" t="str">
        <f>'Invest. IF'!N48</f>
        <v>ITA_N-47_R20-SANTA INES_NR-104</v>
      </c>
      <c r="M48" s="32" t="str">
        <f>'Invest. IF'!O48</f>
        <v>Curicó</v>
      </c>
      <c r="N48" s="32">
        <f>'Invest. IF'!J48</f>
        <v>294127</v>
      </c>
      <c r="O48" s="32">
        <f>'Invest. IF'!K48</f>
        <v>6108002</v>
      </c>
    </row>
    <row r="49" spans="1:15" x14ac:dyDescent="0.2">
      <c r="A49" s="36">
        <f>'Invest. IF'!A49</f>
        <v>48</v>
      </c>
      <c r="B49" s="21" t="e">
        <f>'Invest. IF'!#REF!</f>
        <v>#REF!</v>
      </c>
      <c r="C49" s="32" t="str">
        <f>'Invest. IF'!B49</f>
        <v>Cauquenes</v>
      </c>
      <c r="D49" s="7">
        <f>'Invest. IF'!C49</f>
        <v>108</v>
      </c>
      <c r="E49" s="32" t="str">
        <f>'Invest. IF'!D49</f>
        <v>Lo María</v>
      </c>
      <c r="F49" s="32" t="str">
        <f>'Invest. IF'!E49</f>
        <v>4.1.8</v>
      </c>
      <c r="G49" s="32" t="str">
        <f>'Invest. IF'!F49</f>
        <v>Otras causas negligentes no clasificadas en faenas forestales</v>
      </c>
      <c r="H49" s="32" t="str">
        <f>'Invest. IF'!G49</f>
        <v>4.1</v>
      </c>
      <c r="I49" s="32" t="str">
        <f>'Invest. IF'!H49</f>
        <v>Faenas forestales</v>
      </c>
      <c r="J49" s="32" t="str">
        <f>'Invest. IF'!I49</f>
        <v>Negligentes</v>
      </c>
      <c r="K49" s="32" t="str">
        <f>'Invest. IF'!M49</f>
        <v>Noviembre</v>
      </c>
      <c r="L49" s="32" t="str">
        <f>'Invest. IF'!N49</f>
        <v>ITA_N-48_R20-LO MARIA_NR-108</v>
      </c>
      <c r="M49" s="32" t="str">
        <f>'Invest. IF'!O49</f>
        <v>Cauquenes</v>
      </c>
      <c r="N49" s="32">
        <f>'Invest. IF'!J49</f>
        <v>738985</v>
      </c>
      <c r="O49" s="32">
        <f>'Invest. IF'!K49</f>
        <v>6023696</v>
      </c>
    </row>
    <row r="50" spans="1:15" x14ac:dyDescent="0.2">
      <c r="A50" s="36">
        <f>'Invest. IF'!A50</f>
        <v>49</v>
      </c>
      <c r="B50" s="21" t="e">
        <f>'Invest. IF'!#REF!</f>
        <v>#REF!</v>
      </c>
      <c r="C50" s="32" t="str">
        <f>'Invest. IF'!B50</f>
        <v>Cauquenes</v>
      </c>
      <c r="D50" s="7">
        <f>'Invest. IF'!C50</f>
        <v>105</v>
      </c>
      <c r="E50" s="32" t="str">
        <f>'Invest. IF'!D50</f>
        <v>Capellanía</v>
      </c>
      <c r="F50" s="32" t="str">
        <f>'Invest. IF'!E50</f>
        <v>4.6.1</v>
      </c>
      <c r="G50" s="32" t="str">
        <f>'Invest. IF'!F50</f>
        <v>Generado por el uso de equipos o herramientas con fines de construcción, limpieza o montaje de estructuras</v>
      </c>
      <c r="H50" s="32" t="str">
        <f>'Invest. IF'!G50</f>
        <v>4.6</v>
      </c>
      <c r="I50" s="32" t="str">
        <f>'Invest. IF'!H50</f>
        <v>Parcelaciones, edificaciones residenciales, industriales u otras en zonas rurales o de interfaz</v>
      </c>
      <c r="J50" s="32" t="str">
        <f>'Invest. IF'!I50</f>
        <v>Negligentes</v>
      </c>
      <c r="K50" s="32" t="str">
        <f>'Invest. IF'!M50</f>
        <v>Noviembre</v>
      </c>
      <c r="L50" s="32" t="str">
        <f>'Invest. IF'!N50</f>
        <v>ITA_N-49_R20-CAPELLANIA_NR-105</v>
      </c>
      <c r="M50" s="32" t="str">
        <f>'Invest. IF'!O50</f>
        <v>Cauquenes</v>
      </c>
      <c r="N50" s="32">
        <f>'Invest. IF'!J50</f>
        <v>761851</v>
      </c>
      <c r="O50" s="32">
        <f>'Invest. IF'!K50</f>
        <v>6018555</v>
      </c>
    </row>
    <row r="51" spans="1:15" x14ac:dyDescent="0.2">
      <c r="A51" s="36">
        <f>'Invest. IF'!A51</f>
        <v>50</v>
      </c>
      <c r="B51" s="21" t="e">
        <f>'Invest. IF'!#REF!</f>
        <v>#REF!</v>
      </c>
      <c r="C51" s="32" t="str">
        <f>'Invest. IF'!B51</f>
        <v>Chanco</v>
      </c>
      <c r="D51" s="7">
        <f>'Invest. IF'!C51</f>
        <v>127</v>
      </c>
      <c r="E51" s="32" t="str">
        <f>'Invest. IF'!D51</f>
        <v>Villena</v>
      </c>
      <c r="F51" s="32" t="str">
        <f>'Invest. IF'!E51</f>
        <v>4.1.8</v>
      </c>
      <c r="G51" s="32" t="str">
        <f>'Invest. IF'!F51</f>
        <v>Otras causas negligentes no clasificadas en faenas forestales</v>
      </c>
      <c r="H51" s="32" t="str">
        <f>'Invest. IF'!G51</f>
        <v>4.1</v>
      </c>
      <c r="I51" s="32" t="str">
        <f>'Invest. IF'!H51</f>
        <v>Faenas forestales</v>
      </c>
      <c r="J51" s="32" t="str">
        <f>'Invest. IF'!I51</f>
        <v>Negligentes</v>
      </c>
      <c r="K51" s="32" t="str">
        <f>'Invest. IF'!M51</f>
        <v>Noviembre</v>
      </c>
      <c r="L51" s="32" t="str">
        <f>'Invest. IF'!N51</f>
        <v>ITA_N-50_R20-VILLENA_NR-127</v>
      </c>
      <c r="M51" s="32" t="str">
        <f>'Invest. IF'!O51</f>
        <v>Cauquenes</v>
      </c>
      <c r="N51" s="32">
        <f>'Invest. IF'!J51</f>
        <v>732577</v>
      </c>
      <c r="O51" s="32">
        <f>'Invest. IF'!K51</f>
        <v>6042824</v>
      </c>
    </row>
    <row r="52" spans="1:15" x14ac:dyDescent="0.2">
      <c r="A52" s="36">
        <f>'Invest. IF'!A52</f>
        <v>51</v>
      </c>
      <c r="B52" s="21" t="e">
        <f>'Invest. IF'!#REF!</f>
        <v>#REF!</v>
      </c>
      <c r="C52" s="32" t="str">
        <f>'Invest. IF'!B52</f>
        <v>Linares</v>
      </c>
      <c r="D52" s="7">
        <f>'Invest. IF'!C52</f>
        <v>113</v>
      </c>
      <c r="E52" s="32" t="str">
        <f>'Invest. IF'!D52</f>
        <v>Los Acacios</v>
      </c>
      <c r="F52" s="32" t="str">
        <f>'Invest. IF'!E52</f>
        <v>4.2.8</v>
      </c>
      <c r="G52" s="32" t="str">
        <f>'Invest. IF'!F52</f>
        <v>Otras causas negligentes no clasificadas en faenas agrícolas y pecuarias</v>
      </c>
      <c r="H52" s="32" t="str">
        <f>'Invest. IF'!G52</f>
        <v>4.2</v>
      </c>
      <c r="I52" s="32" t="str">
        <f>'Invest. IF'!H52</f>
        <v>Faenas agrícolas y pecuarias</v>
      </c>
      <c r="J52" s="32" t="str">
        <f>'Invest. IF'!I52</f>
        <v>Negligentes</v>
      </c>
      <c r="K52" s="32" t="str">
        <f>'Invest. IF'!M52</f>
        <v>Diciembre</v>
      </c>
      <c r="L52" s="32" t="str">
        <f>'Invest. IF'!N52</f>
        <v>ITA_N-51_R20-LOS ACACIOS_NR-113</v>
      </c>
      <c r="M52" s="32" t="str">
        <f>'Invest. IF'!O52</f>
        <v>Linares</v>
      </c>
      <c r="N52" s="32">
        <f>'Invest. IF'!J52</f>
        <v>273143</v>
      </c>
      <c r="O52" s="32">
        <f>'Invest. IF'!K52</f>
        <v>6029832</v>
      </c>
    </row>
    <row r="53" spans="1:15" x14ac:dyDescent="0.2">
      <c r="A53" s="36">
        <f>'Invest. IF'!A53</f>
        <v>52</v>
      </c>
      <c r="B53" s="21" t="e">
        <f>'Invest. IF'!#REF!</f>
        <v>#REF!</v>
      </c>
      <c r="C53" s="32" t="str">
        <f>'Invest. IF'!B53</f>
        <v>Linares</v>
      </c>
      <c r="D53" s="7">
        <f>'Invest. IF'!C53</f>
        <v>121</v>
      </c>
      <c r="E53" s="32" t="str">
        <f>'Invest. IF'!D53</f>
        <v>Guapi</v>
      </c>
      <c r="F53" s="32" t="str">
        <f>'Invest. IF'!E53</f>
        <v>2.1.1</v>
      </c>
      <c r="G53" s="32" t="str">
        <f>'Invest. IF'!F53</f>
        <v>Provocado, no se identifica la motivación</v>
      </c>
      <c r="H53" s="32" t="str">
        <f>'Invest. IF'!G53</f>
        <v>2.1</v>
      </c>
      <c r="I53" s="32" t="str">
        <f>'Invest. IF'!H53</f>
        <v>Incendios intencionales</v>
      </c>
      <c r="J53" s="32" t="str">
        <f>'Invest. IF'!I53</f>
        <v>Intencionales</v>
      </c>
      <c r="K53" s="32" t="str">
        <f>'Invest. IF'!M53</f>
        <v>Diciembre</v>
      </c>
      <c r="L53" s="32" t="str">
        <f>'Invest. IF'!N53</f>
        <v>ITA_N-52_R20-GUAPI_NR-121</v>
      </c>
      <c r="M53" s="32" t="str">
        <f>'Invest. IF'!O53</f>
        <v>Linares</v>
      </c>
      <c r="N53" s="32">
        <f>'Invest. IF'!J53</f>
        <v>264447</v>
      </c>
      <c r="O53" s="32">
        <f>'Invest. IF'!K53</f>
        <v>6026958</v>
      </c>
    </row>
    <row r="54" spans="1:15" x14ac:dyDescent="0.2">
      <c r="A54" s="36">
        <f>'Invest. IF'!A54</f>
        <v>53</v>
      </c>
      <c r="B54" s="21" t="e">
        <f>'Invest. IF'!#REF!</f>
        <v>#REF!</v>
      </c>
      <c r="C54" s="32" t="str">
        <f>'Invest. IF'!B54</f>
        <v>Río Claro</v>
      </c>
      <c r="D54" s="7">
        <f>'Invest. IF'!C54</f>
        <v>149</v>
      </c>
      <c r="E54" s="32" t="str">
        <f>'Invest. IF'!D54</f>
        <v>Odessa</v>
      </c>
      <c r="F54" s="32" t="str">
        <f>'Invest. IF'!E54</f>
        <v>4.6.5</v>
      </c>
      <c r="G54" s="32" t="str">
        <f>'Invest. IF'!F54</f>
        <v>Empleo de fuentes de calor en actividades relacionadas a parcelaciones (asados, tijerales, fogatas, otros)</v>
      </c>
      <c r="H54" s="32" t="str">
        <f>'Invest. IF'!G54</f>
        <v>4.6</v>
      </c>
      <c r="I54" s="32" t="str">
        <f>'Invest. IF'!H54</f>
        <v>Parcelaciones, edificaciones residenciales, industriales u otras en zonas rurales o de interfaz</v>
      </c>
      <c r="J54" s="32" t="str">
        <f>'Invest. IF'!I54</f>
        <v>Negligentes</v>
      </c>
      <c r="K54" s="32" t="str">
        <f>'Invest. IF'!M54</f>
        <v>Diciembre</v>
      </c>
      <c r="L54" s="32" t="str">
        <f>'Invest. IF'!N54</f>
        <v>ITA_N-53_R20-ODESSA_NR-149</v>
      </c>
      <c r="M54" s="32" t="str">
        <f>'Invest. IF'!O54</f>
        <v>Talca</v>
      </c>
      <c r="N54" s="32">
        <f>'Invest. IF'!J54</f>
        <v>296048</v>
      </c>
      <c r="O54" s="32">
        <f>'Invest. IF'!K54</f>
        <v>6101212</v>
      </c>
    </row>
    <row r="55" spans="1:15" x14ac:dyDescent="0.2">
      <c r="A55" s="36">
        <f>'Invest. IF'!A55</f>
        <v>54</v>
      </c>
      <c r="B55" s="21" t="e">
        <f>'Invest. IF'!#REF!</f>
        <v>#REF!</v>
      </c>
      <c r="C55" s="32" t="str">
        <f>'Invest. IF'!B55</f>
        <v>Yerbas Buenas</v>
      </c>
      <c r="D55" s="7">
        <f>'Invest. IF'!C55</f>
        <v>155</v>
      </c>
      <c r="E55" s="32" t="str">
        <f>'Invest. IF'!D55</f>
        <v>Orilla de Maule</v>
      </c>
      <c r="F55" s="32" t="str">
        <f>'Invest. IF'!E55</f>
        <v>4.8.2</v>
      </c>
      <c r="G55" s="32" t="str">
        <f>'Invest. IF'!F55</f>
        <v>Quema de basura residencial o desechos vegetales</v>
      </c>
      <c r="H55" s="32" t="str">
        <f>'Invest. IF'!G55</f>
        <v>4.8</v>
      </c>
      <c r="I55" s="32" t="str">
        <f>'Invest. IF'!H55</f>
        <v>Otras quemas</v>
      </c>
      <c r="J55" s="32" t="str">
        <f>'Invest. IF'!I55</f>
        <v>Negligentes</v>
      </c>
      <c r="K55" s="32" t="str">
        <f>'Invest. IF'!M55</f>
        <v>Diciembre</v>
      </c>
      <c r="L55" s="32" t="str">
        <f>'Invest. IF'!N55</f>
        <v>ITA_N-54_R20-ORILLA DE MAULE_NR-155</v>
      </c>
      <c r="M55" s="32" t="str">
        <f>'Invest. IF'!O55</f>
        <v>Linares</v>
      </c>
      <c r="N55" s="32">
        <f>'Invest. IF'!J55</f>
        <v>270049</v>
      </c>
      <c r="O55" s="32">
        <f>'Invest. IF'!K55</f>
        <v>6054354</v>
      </c>
    </row>
    <row r="56" spans="1:15" x14ac:dyDescent="0.2">
      <c r="A56" s="36">
        <f>'Invest. IF'!A56</f>
        <v>55</v>
      </c>
      <c r="B56" s="21" t="e">
        <f>'Invest. IF'!#REF!</f>
        <v>#REF!</v>
      </c>
      <c r="C56" s="32" t="str">
        <f>'Invest. IF'!B56</f>
        <v>Yerbas Buenas</v>
      </c>
      <c r="D56" s="7">
        <f>'Invest. IF'!C56</f>
        <v>125</v>
      </c>
      <c r="E56" s="32" t="str">
        <f>'Invest. IF'!D56</f>
        <v>María Teresa</v>
      </c>
      <c r="F56" s="32" t="str">
        <f>'Invest. IF'!E56</f>
        <v>4.10.12</v>
      </c>
      <c r="G56" s="32" t="str">
        <f>'Invest. IF'!F56</f>
        <v>Otras actividades negligentes no clasificadas</v>
      </c>
      <c r="H56" s="32" t="str">
        <f>'Invest. IF'!G56</f>
        <v>4.10</v>
      </c>
      <c r="I56" s="32" t="str">
        <f>'Invest. IF'!H56</f>
        <v>Otras causas</v>
      </c>
      <c r="J56" s="32" t="str">
        <f>'Invest. IF'!I56</f>
        <v>Negligentes</v>
      </c>
      <c r="K56" s="32" t="str">
        <f>'Invest. IF'!M56</f>
        <v>Diciembre</v>
      </c>
      <c r="L56" s="32" t="str">
        <f>'Invest. IF'!N56</f>
        <v>ITA_N-55_R20-MARIA TERESA_NR-125</v>
      </c>
      <c r="M56" s="32" t="str">
        <f>'Invest. IF'!O56</f>
        <v>Linares</v>
      </c>
      <c r="N56" s="32">
        <f>'Invest. IF'!J56</f>
        <v>270233</v>
      </c>
      <c r="O56" s="32">
        <f>'Invest. IF'!K56</f>
        <v>6053591</v>
      </c>
    </row>
    <row r="57" spans="1:15" x14ac:dyDescent="0.2">
      <c r="A57" s="36">
        <f>'Invest. IF'!A57</f>
        <v>56</v>
      </c>
      <c r="B57" s="21" t="e">
        <f>'Invest. IF'!#REF!</f>
        <v>#REF!</v>
      </c>
      <c r="C57" s="32" t="str">
        <f>'Invest. IF'!B57</f>
        <v>Villa Alegre</v>
      </c>
      <c r="D57" s="7">
        <f>'Invest. IF'!C57</f>
        <v>173</v>
      </c>
      <c r="E57" s="32" t="str">
        <f>'Invest. IF'!D57</f>
        <v>Rosas Olea</v>
      </c>
      <c r="F57" s="32" t="str">
        <f>'Invest. IF'!E57</f>
        <v>4.6.1</v>
      </c>
      <c r="G57" s="32" t="str">
        <f>'Invest. IF'!F57</f>
        <v>Generado por el uso de equipos o herramientas con fines de construcción, limpieza o montaje de estructuras</v>
      </c>
      <c r="H57" s="32" t="str">
        <f>'Invest. IF'!G57</f>
        <v>4.6</v>
      </c>
      <c r="I57" s="32" t="str">
        <f>'Invest. IF'!H57</f>
        <v>Parcelaciones, edificaciones residenciales, industriales u otras en zonas rurales o de interfaz</v>
      </c>
      <c r="J57" s="32" t="str">
        <f>'Invest. IF'!I57</f>
        <v>Negligentes</v>
      </c>
      <c r="K57" s="32" t="str">
        <f>'Invest. IF'!M57</f>
        <v>Diciembre</v>
      </c>
      <c r="L57" s="32" t="str">
        <f>'Invest. IF'!N57</f>
        <v>ITA_N-56_R20-ROSAS OLEA_NR-173</v>
      </c>
      <c r="M57" s="32" t="str">
        <f>'Invest. IF'!O57</f>
        <v>Linares</v>
      </c>
      <c r="N57" s="32">
        <f>'Invest. IF'!J57</f>
        <v>259902</v>
      </c>
      <c r="O57" s="32">
        <f>'Invest. IF'!K57</f>
        <v>6043076</v>
      </c>
    </row>
    <row r="58" spans="1:15" x14ac:dyDescent="0.2">
      <c r="A58" s="36">
        <f>'Invest. IF'!A58</f>
        <v>57</v>
      </c>
      <c r="B58" s="21" t="e">
        <f>'Invest. IF'!#REF!</f>
        <v>#REF!</v>
      </c>
      <c r="C58" s="32" t="str">
        <f>'Invest. IF'!B58</f>
        <v>Yerbas Buenas</v>
      </c>
      <c r="D58" s="7">
        <f>'Invest. IF'!C58</f>
        <v>153</v>
      </c>
      <c r="E58" s="32" t="str">
        <f>'Invest. IF'!D58</f>
        <v>San Ignacio</v>
      </c>
      <c r="F58" s="32" t="str">
        <f>'Invest. IF'!E58</f>
        <v>4.2.1</v>
      </c>
      <c r="G58" s="32" t="str">
        <f>'Invest. IF'!F58</f>
        <v>Quema no avisada de desechos agrícolas que se propaga libre y sin control</v>
      </c>
      <c r="H58" s="32" t="str">
        <f>'Invest. IF'!G58</f>
        <v>4.2</v>
      </c>
      <c r="I58" s="32" t="str">
        <f>'Invest. IF'!H58</f>
        <v>Faenas agrícolas y pecuarias</v>
      </c>
      <c r="J58" s="32" t="str">
        <f>'Invest. IF'!I58</f>
        <v>Negligentes</v>
      </c>
      <c r="K58" s="32" t="str">
        <f>'Invest. IF'!M58</f>
        <v>Diciembre</v>
      </c>
      <c r="L58" s="32" t="str">
        <f>'Invest. IF'!N58</f>
        <v>ITA_N-57_R20-SAN IGNACIO_NR-153</v>
      </c>
      <c r="M58" s="32" t="str">
        <f>'Invest. IF'!O58</f>
        <v>Linares</v>
      </c>
      <c r="N58" s="32">
        <f>'Invest. IF'!J58</f>
        <v>266773</v>
      </c>
      <c r="O58" s="32">
        <f>'Invest. IF'!K58</f>
        <v>6057108</v>
      </c>
    </row>
    <row r="59" spans="1:15" x14ac:dyDescent="0.2">
      <c r="A59" s="36">
        <f>'Invest. IF'!A59</f>
        <v>58</v>
      </c>
      <c r="B59" s="21" t="e">
        <f>'Invest. IF'!#REF!</f>
        <v>#REF!</v>
      </c>
      <c r="C59" s="32" t="str">
        <f>'Invest. IF'!B59</f>
        <v>Yerbas Buenas</v>
      </c>
      <c r="D59" s="7">
        <f>'Invest. IF'!C59</f>
        <v>158</v>
      </c>
      <c r="E59" s="32" t="str">
        <f>'Invest. IF'!D59</f>
        <v>Santa Raquel</v>
      </c>
      <c r="F59" s="32" t="str">
        <f>'Invest. IF'!E59</f>
        <v>4.3.1</v>
      </c>
      <c r="G59" s="32" t="str">
        <f>'Invest. IF'!F59</f>
        <v>Empleo de fuentes de calor en áreas no habilitadas, como fogatas para cocinar, cocinillas, calefacción, elementos para iluminar u otros.</v>
      </c>
      <c r="H59" s="32" t="str">
        <f>'Invest. IF'!G59</f>
        <v>4.3</v>
      </c>
      <c r="I59" s="32" t="str">
        <f>'Invest. IF'!H59</f>
        <v>Actividades al aire libre (camping, excursiones, caza, pesca, otros)</v>
      </c>
      <c r="J59" s="32" t="str">
        <f>'Invest. IF'!I59</f>
        <v>Negligentes</v>
      </c>
      <c r="K59" s="32" t="str">
        <f>'Invest. IF'!M59</f>
        <v>Diciembre</v>
      </c>
      <c r="L59" s="32" t="str">
        <f>'Invest. IF'!N59</f>
        <v>ITA_N-58_R20-SANTA RAQUEL_NR-158</v>
      </c>
      <c r="M59" s="32" t="str">
        <f>'Invest. IF'!O59</f>
        <v>Linares</v>
      </c>
      <c r="N59" s="32">
        <f>'Invest. IF'!J59</f>
        <v>267650</v>
      </c>
      <c r="O59" s="32">
        <f>'Invest. IF'!K59</f>
        <v>6057117</v>
      </c>
    </row>
    <row r="60" spans="1:15" x14ac:dyDescent="0.2">
      <c r="A60" s="36">
        <f>'Invest. IF'!A60</f>
        <v>59</v>
      </c>
      <c r="B60" s="21" t="e">
        <f>'Invest. IF'!#REF!</f>
        <v>#REF!</v>
      </c>
      <c r="C60" s="32" t="str">
        <f>'Invest. IF'!B60</f>
        <v>Curicó</v>
      </c>
      <c r="D60" s="7">
        <f>'Invest. IF'!C60</f>
        <v>176</v>
      </c>
      <c r="E60" s="32" t="str">
        <f>'Invest. IF'!D60</f>
        <v>Maquehua</v>
      </c>
      <c r="F60" s="32" t="str">
        <f>'Invest. IF'!E60</f>
        <v>4.10.4</v>
      </c>
      <c r="G60" s="32" t="str">
        <f>'Invest. IF'!F60</f>
        <v>Acciones asociadas a fumar</v>
      </c>
      <c r="H60" s="32" t="str">
        <f>'Invest. IF'!G60</f>
        <v>4.10</v>
      </c>
      <c r="I60" s="32" t="str">
        <f>'Invest. IF'!H60</f>
        <v>Otras causas</v>
      </c>
      <c r="J60" s="32" t="str">
        <f>'Invest. IF'!I60</f>
        <v>Negligentes</v>
      </c>
      <c r="K60" s="32" t="str">
        <f>'Invest. IF'!M60</f>
        <v>Diciembre</v>
      </c>
      <c r="L60" s="32" t="str">
        <f>'Invest. IF'!N60</f>
        <v>ITA_N-59_R20-MAQUEHUA_NR-176</v>
      </c>
      <c r="M60" s="32" t="str">
        <f>'Invest. IF'!O60</f>
        <v>Curicó</v>
      </c>
      <c r="N60" s="32">
        <f>'Invest. IF'!J60</f>
        <v>295850</v>
      </c>
      <c r="O60" s="32">
        <f>'Invest. IF'!K60</f>
        <v>6121946</v>
      </c>
    </row>
    <row r="61" spans="1:15" x14ac:dyDescent="0.2">
      <c r="A61" s="36">
        <f>'Invest. IF'!A61</f>
        <v>60</v>
      </c>
      <c r="B61" s="21" t="e">
        <f>'Invest. IF'!#REF!</f>
        <v>#REF!</v>
      </c>
      <c r="C61" s="32" t="str">
        <f>'Invest. IF'!B61</f>
        <v>Río Claro</v>
      </c>
      <c r="D61" s="7">
        <f>'Invest. IF'!C61</f>
        <v>192</v>
      </c>
      <c r="E61" s="32" t="str">
        <f>'Invest. IF'!D61</f>
        <v>San Camilo</v>
      </c>
      <c r="F61" s="32" t="str">
        <f>'Invest. IF'!E61</f>
        <v>4.6.1</v>
      </c>
      <c r="G61" s="32" t="str">
        <f>'Invest. IF'!F61</f>
        <v>Generado por el uso de equipos o herramientas con fines de construcción, limpieza o montaje de estructuras</v>
      </c>
      <c r="H61" s="32" t="str">
        <f>'Invest. IF'!G61</f>
        <v>4.6</v>
      </c>
      <c r="I61" s="32" t="str">
        <f>'Invest. IF'!H61</f>
        <v>Parcelaciones, edificaciones residenciales, industriales u otras en zonas rurales o de interfaz</v>
      </c>
      <c r="J61" s="32" t="str">
        <f>'Invest. IF'!I61</f>
        <v>Negligentes</v>
      </c>
      <c r="K61" s="32" t="str">
        <f>'Invest. IF'!M61</f>
        <v>Diciembre</v>
      </c>
      <c r="L61" s="32" t="str">
        <f>'Invest. IF'!N61</f>
        <v>ITA_N-60_R20-SAN CAMILO_NR-192</v>
      </c>
      <c r="M61" s="32" t="str">
        <f>'Invest. IF'!O61</f>
        <v>Talca</v>
      </c>
      <c r="N61" s="32">
        <f>'Invest. IF'!J61</f>
        <v>285731</v>
      </c>
      <c r="O61" s="32">
        <f>'Invest. IF'!K61</f>
        <v>6106272</v>
      </c>
    </row>
    <row r="62" spans="1:15" x14ac:dyDescent="0.2">
      <c r="A62" s="36">
        <f>'Invest. IF'!A62</f>
        <v>61</v>
      </c>
      <c r="B62" s="21" t="e">
        <f>'Invest. IF'!#REF!</f>
        <v>#REF!</v>
      </c>
      <c r="C62" s="32" t="str">
        <f>'Invest. IF'!B62</f>
        <v>San Rafael</v>
      </c>
      <c r="D62" s="7">
        <f>'Invest. IF'!C62</f>
        <v>216</v>
      </c>
      <c r="E62" s="32" t="str">
        <f>'Invest. IF'!D62</f>
        <v>San Manuel</v>
      </c>
      <c r="F62" s="32" t="str">
        <f>'Invest. IF'!E62</f>
        <v>4.2.4</v>
      </c>
      <c r="G62" s="32" t="str">
        <f>'Invest. IF'!F62</f>
        <v>Partícula incandescente generada sin roce por vehículo, maquinaria o herramienta agrícola</v>
      </c>
      <c r="H62" s="32" t="str">
        <f>'Invest. IF'!G62</f>
        <v>4.2</v>
      </c>
      <c r="I62" s="32" t="str">
        <f>'Invest. IF'!H62</f>
        <v>Faenas agrícolas y pecuarias</v>
      </c>
      <c r="J62" s="32" t="str">
        <f>'Invest. IF'!I62</f>
        <v>Negligentes</v>
      </c>
      <c r="K62" s="32" t="str">
        <f>'Invest. IF'!M62</f>
        <v>Diciembre</v>
      </c>
      <c r="L62" s="32" t="str">
        <f>'Invest. IF'!N62</f>
        <v>ITA_N-61_R20-SAN MANUEL_NR-216</v>
      </c>
      <c r="M62" s="32" t="str">
        <f>'Invest. IF'!O62</f>
        <v>Talca</v>
      </c>
      <c r="N62" s="32">
        <f>'Invest. IF'!J62</f>
        <v>271363</v>
      </c>
      <c r="O62" s="32">
        <f>'Invest. IF'!K62</f>
        <v>6096333</v>
      </c>
    </row>
    <row r="63" spans="1:15" x14ac:dyDescent="0.2">
      <c r="A63" s="36">
        <f>'Invest. IF'!A63</f>
        <v>62</v>
      </c>
      <c r="B63" s="21" t="e">
        <f>'Invest. IF'!#REF!</f>
        <v>#REF!</v>
      </c>
      <c r="C63" s="32" t="str">
        <f>'Invest. IF'!B63</f>
        <v>Maule</v>
      </c>
      <c r="D63" s="7">
        <f>'Invest. IF'!C63</f>
        <v>204</v>
      </c>
      <c r="E63" s="32" t="str">
        <f>'Invest. IF'!D63</f>
        <v>Culenar viejo</v>
      </c>
      <c r="F63" s="32" t="str">
        <f>'Invest. IF'!E63</f>
        <v>4.3.1</v>
      </c>
      <c r="G63" s="32" t="str">
        <f>'Invest. IF'!F63</f>
        <v>Empleo de fuentes de calor en áreas no habilitadas, como fogatas para cocinar, cocinillas, calefacción, elementos para iluminar u otros.</v>
      </c>
      <c r="H63" s="32" t="str">
        <f>'Invest. IF'!G63</f>
        <v>4.3</v>
      </c>
      <c r="I63" s="32" t="str">
        <f>'Invest. IF'!H63</f>
        <v>Actividades al aire libre (camping, excursiones, caza, pesca, otros)</v>
      </c>
      <c r="J63" s="32" t="str">
        <f>'Invest. IF'!I63</f>
        <v>Negligentes</v>
      </c>
      <c r="K63" s="32" t="str">
        <f>'Invest. IF'!M63</f>
        <v>Diciembre</v>
      </c>
      <c r="L63" s="32" t="str">
        <f>'Invest. IF'!N63</f>
        <v>ITA_N-62_R20-CULENAR VIEJO_NR-204</v>
      </c>
      <c r="M63" s="32" t="str">
        <f>'Invest. IF'!O63</f>
        <v>Talca</v>
      </c>
      <c r="N63" s="32">
        <f>'Invest. IF'!J63</f>
        <v>254847</v>
      </c>
      <c r="O63" s="32">
        <f>'Invest. IF'!K63</f>
        <v>6072629</v>
      </c>
    </row>
    <row r="64" spans="1:15" x14ac:dyDescent="0.2">
      <c r="A64" s="36">
        <f>'Invest. IF'!A64</f>
        <v>63</v>
      </c>
      <c r="B64" s="21" t="e">
        <f>'Invest. IF'!#REF!</f>
        <v>#REF!</v>
      </c>
      <c r="C64" s="32" t="str">
        <f>'Invest. IF'!B64</f>
        <v>Constitución</v>
      </c>
      <c r="D64" s="7">
        <f>'Invest. IF'!C64</f>
        <v>208</v>
      </c>
      <c r="E64" s="32" t="str">
        <f>'Invest. IF'!D64</f>
        <v>San Antonio</v>
      </c>
      <c r="F64" s="32" t="str">
        <f>'Invest. IF'!E64</f>
        <v>2.1.1</v>
      </c>
      <c r="G64" s="32" t="str">
        <f>'Invest. IF'!F64</f>
        <v>Provocado, no se identifica la motivación</v>
      </c>
      <c r="H64" s="32" t="str">
        <f>'Invest. IF'!G64</f>
        <v>2.1</v>
      </c>
      <c r="I64" s="32" t="str">
        <f>'Invest. IF'!H64</f>
        <v>Incendios intencionales</v>
      </c>
      <c r="J64" s="32" t="str">
        <f>'Invest. IF'!I64</f>
        <v>Intencionales</v>
      </c>
      <c r="K64" s="32" t="str">
        <f>'Invest. IF'!M64</f>
        <v>Diciembre</v>
      </c>
      <c r="L64" s="32" t="str">
        <f>'Invest. IF'!N64</f>
        <v>ITA_N-63_R20-SAN ANTONIO_NR-208</v>
      </c>
      <c r="M64" s="32" t="str">
        <f>'Invest. IF'!O64</f>
        <v>Talca</v>
      </c>
      <c r="N64" s="32">
        <f>'Invest. IF'!J64</f>
        <v>733447</v>
      </c>
      <c r="O64" s="32">
        <f>'Invest. IF'!K64</f>
        <v>6084717</v>
      </c>
    </row>
    <row r="65" spans="1:15" x14ac:dyDescent="0.2">
      <c r="A65" s="36">
        <f>'Invest. IF'!A65</f>
        <v>64</v>
      </c>
      <c r="B65" s="21" t="e">
        <f>'Invest. IF'!#REF!</f>
        <v>#REF!</v>
      </c>
      <c r="C65" s="32" t="str">
        <f>'Invest. IF'!B65</f>
        <v>Villa Alegre</v>
      </c>
      <c r="D65" s="7">
        <f>'Invest. IF'!C65</f>
        <v>219</v>
      </c>
      <c r="E65" s="32" t="str">
        <f>'Invest. IF'!D65</f>
        <v>Lomas de las Tortillas 2</v>
      </c>
      <c r="F65" s="32" t="str">
        <f>'Invest. IF'!E65</f>
        <v>4.2.4</v>
      </c>
      <c r="G65" s="32" t="str">
        <f>'Invest. IF'!F65</f>
        <v>Partícula incandescente generada sin roce por vehículo, maquinaria o herramienta agrícola</v>
      </c>
      <c r="H65" s="32" t="str">
        <f>'Invest. IF'!G65</f>
        <v>4.2</v>
      </c>
      <c r="I65" s="32" t="str">
        <f>'Invest. IF'!H65</f>
        <v>Faenas agrícolas y pecuarias</v>
      </c>
      <c r="J65" s="32" t="str">
        <f>'Invest. IF'!I65</f>
        <v>Negligentes</v>
      </c>
      <c r="K65" s="32" t="str">
        <f>'Invest. IF'!M65</f>
        <v>Diciembre</v>
      </c>
      <c r="L65" s="32" t="str">
        <f>'Invest. IF'!N65</f>
        <v>ITA_N-64_R20-LOMAS DE LAS TORTILLAS 2_NR-219</v>
      </c>
      <c r="M65" s="32" t="str">
        <f>'Invest. IF'!O65</f>
        <v>Linares</v>
      </c>
      <c r="N65" s="32">
        <f>'Invest. IF'!J65</f>
        <v>251049</v>
      </c>
      <c r="O65" s="32">
        <f>'Invest. IF'!K65</f>
        <v>6054852</v>
      </c>
    </row>
    <row r="66" spans="1:15" x14ac:dyDescent="0.2">
      <c r="A66" s="36">
        <f>'Invest. IF'!A66</f>
        <v>65</v>
      </c>
      <c r="B66" s="21" t="e">
        <f>'Invest. IF'!#REF!</f>
        <v>#REF!</v>
      </c>
      <c r="C66" s="32" t="str">
        <f>'Invest. IF'!B66</f>
        <v>Retiro</v>
      </c>
      <c r="D66" s="7">
        <f>'Invest. IF'!C66</f>
        <v>225</v>
      </c>
      <c r="E66" s="32" t="str">
        <f>'Invest. IF'!D66</f>
        <v>Cuñao</v>
      </c>
      <c r="F66" s="32" t="str">
        <f>'Invest. IF'!E66</f>
        <v>4.6.1</v>
      </c>
      <c r="G66" s="32" t="str">
        <f>'Invest. IF'!F66</f>
        <v>Generado por el uso de equipos o herramientas con fines de construcción, limpieza o montaje de estructuras</v>
      </c>
      <c r="H66" s="32" t="str">
        <f>'Invest. IF'!G66</f>
        <v>4.6</v>
      </c>
      <c r="I66" s="32" t="str">
        <f>'Invest. IF'!H66</f>
        <v>Parcelaciones, edificaciones residenciales, industriales u otras en zonas rurales o de interfaz</v>
      </c>
      <c r="J66" s="32" t="str">
        <f>'Invest. IF'!I66</f>
        <v>Negligentes</v>
      </c>
      <c r="K66" s="32" t="str">
        <f>'Invest. IF'!M66</f>
        <v>Diciembre</v>
      </c>
      <c r="L66" s="32" t="str">
        <f>'Invest. IF'!N66</f>
        <v>ITA_N-65_R20-CUÑAO_NR-225</v>
      </c>
      <c r="M66" s="32" t="str">
        <f>'Invest. IF'!O66</f>
        <v>Linares</v>
      </c>
      <c r="N66" s="32">
        <f>'Invest. IF'!J66</f>
        <v>252245</v>
      </c>
      <c r="O66" s="32">
        <f>'Invest. IF'!K66</f>
        <v>6018844</v>
      </c>
    </row>
    <row r="67" spans="1:15" x14ac:dyDescent="0.2">
      <c r="A67" s="36">
        <f>'Invest. IF'!A67</f>
        <v>66</v>
      </c>
      <c r="B67" s="21" t="e">
        <f>'Invest. IF'!#REF!</f>
        <v>#REF!</v>
      </c>
      <c r="C67" s="32" t="str">
        <f>'Invest. IF'!B67</f>
        <v>San Javier</v>
      </c>
      <c r="D67" s="7">
        <f>'Invest. IF'!C67</f>
        <v>229</v>
      </c>
      <c r="E67" s="32" t="str">
        <f>'Invest. IF'!D67</f>
        <v>Comavida</v>
      </c>
      <c r="F67" s="32" t="str">
        <f>'Invest. IF'!E67</f>
        <v>1.6.1</v>
      </c>
      <c r="G67" s="32" t="str">
        <f>'Invest. IF'!F67</f>
        <v>Incendio estructural</v>
      </c>
      <c r="H67" s="32" t="str">
        <f>'Invest. IF'!G67</f>
        <v>1.6</v>
      </c>
      <c r="I67" s="32" t="str">
        <f>'Invest. IF'!H67</f>
        <v>Parcelaciones, edificaciones residenciales, industriales u otras en zonas rurales o de interfaz</v>
      </c>
      <c r="J67" s="32" t="str">
        <f>'Invest. IF'!I67</f>
        <v>Accidentales</v>
      </c>
      <c r="K67" s="32" t="str">
        <f>'Invest. IF'!M67</f>
        <v>Diciembre</v>
      </c>
      <c r="L67" s="32" t="str">
        <f>'Invest. IF'!N67</f>
        <v>ITA_N-66_R20-COMAVIDA_NR-229</v>
      </c>
      <c r="M67" s="32" t="str">
        <f>'Invest. IF'!O67</f>
        <v>Linares</v>
      </c>
      <c r="N67" s="32">
        <f>'Invest. IF'!J67</f>
        <v>244479</v>
      </c>
      <c r="O67" s="32">
        <f>'Invest. IF'!K67</f>
        <v>6045559</v>
      </c>
    </row>
    <row r="68" spans="1:15" x14ac:dyDescent="0.2">
      <c r="A68" s="36">
        <f>'Invest. IF'!A68</f>
        <v>67</v>
      </c>
      <c r="B68" s="21" t="e">
        <f>'Invest. IF'!#REF!</f>
        <v>#REF!</v>
      </c>
      <c r="C68" s="32" t="str">
        <f>'Invest. IF'!B68</f>
        <v>San Javier</v>
      </c>
      <c r="D68" s="7">
        <f>'Invest. IF'!C68</f>
        <v>223</v>
      </c>
      <c r="E68" s="32" t="str">
        <f>'Invest. IF'!D68</f>
        <v>Pozo de oro</v>
      </c>
      <c r="F68" s="32" t="str">
        <f>'Invest. IF'!E68</f>
        <v>2.1.1</v>
      </c>
      <c r="G68" s="32" t="str">
        <f>'Invest. IF'!F68</f>
        <v>Provocado, no se identifica la motivación</v>
      </c>
      <c r="H68" s="32" t="str">
        <f>'Invest. IF'!G68</f>
        <v>2.1</v>
      </c>
      <c r="I68" s="32" t="str">
        <f>'Invest. IF'!H68</f>
        <v>Incendios intencionales</v>
      </c>
      <c r="J68" s="32" t="str">
        <f>'Invest. IF'!I68</f>
        <v>Intencionales</v>
      </c>
      <c r="K68" s="32" t="str">
        <f>'Invest. IF'!M68</f>
        <v>Diciembre</v>
      </c>
      <c r="L68" s="32" t="str">
        <f>'Invest. IF'!N68</f>
        <v>ITA_N-67_R20-POZO DE ORO_NR-223</v>
      </c>
      <c r="M68" s="32" t="str">
        <f>'Invest. IF'!O68</f>
        <v>Linares</v>
      </c>
      <c r="N68" s="32">
        <f>'Invest. IF'!J68</f>
        <v>245683</v>
      </c>
      <c r="O68" s="32">
        <f>'Invest. IF'!K68</f>
        <v>6044685</v>
      </c>
    </row>
    <row r="69" spans="1:15" x14ac:dyDescent="0.2">
      <c r="A69" s="36">
        <f>'Invest. IF'!A69</f>
        <v>68</v>
      </c>
      <c r="B69" s="21" t="e">
        <f>'Invest. IF'!#REF!</f>
        <v>#REF!</v>
      </c>
      <c r="C69" s="32" t="str">
        <f>'Invest. IF'!B69</f>
        <v>San Javier</v>
      </c>
      <c r="D69" s="7">
        <f>'Invest. IF'!C69</f>
        <v>239</v>
      </c>
      <c r="E69" s="32" t="str">
        <f>'Invest. IF'!D69</f>
        <v>El Olivar</v>
      </c>
      <c r="F69" s="32" t="str">
        <f>'Invest. IF'!E69</f>
        <v>4.2.8</v>
      </c>
      <c r="G69" s="32" t="str">
        <f>'Invest. IF'!F69</f>
        <v>Otras causas negligentes no clasificadas en faenas agrícolas y pecuarias</v>
      </c>
      <c r="H69" s="32" t="str">
        <f>'Invest. IF'!G69</f>
        <v>4.2</v>
      </c>
      <c r="I69" s="32" t="str">
        <f>'Invest. IF'!H69</f>
        <v>Faenas agrícolas y pecuarias</v>
      </c>
      <c r="J69" s="32" t="str">
        <f>'Invest. IF'!I69</f>
        <v>Negligentes</v>
      </c>
      <c r="K69" s="32" t="str">
        <f>'Invest. IF'!M69</f>
        <v>Diciembre</v>
      </c>
      <c r="L69" s="32" t="str">
        <f>'Invest. IF'!N69</f>
        <v>ITA_N-68_R20-EL OLIVAR_NR-239</v>
      </c>
      <c r="M69" s="32" t="str">
        <f>'Invest. IF'!O69</f>
        <v>Linares</v>
      </c>
      <c r="N69" s="32">
        <f>'Invest. IF'!J69</f>
        <v>254847</v>
      </c>
      <c r="O69" s="32">
        <f>'Invest. IF'!K69</f>
        <v>6072629</v>
      </c>
    </row>
    <row r="70" spans="1:15" x14ac:dyDescent="0.2">
      <c r="A70" s="36">
        <f>'Invest. IF'!A70</f>
        <v>69</v>
      </c>
      <c r="B70" s="21" t="e">
        <f>'Invest. IF'!#REF!</f>
        <v>#REF!</v>
      </c>
      <c r="C70" s="32" t="str">
        <f>'Invest. IF'!B70</f>
        <v>Villa Alegre</v>
      </c>
      <c r="D70" s="7">
        <f>'Invest. IF'!C70</f>
        <v>231</v>
      </c>
      <c r="E70" s="32" t="str">
        <f>'Invest. IF'!D70</f>
        <v>Barros Negros</v>
      </c>
      <c r="F70" s="32" t="str">
        <f>'Invest. IF'!E70</f>
        <v>4.2.4</v>
      </c>
      <c r="G70" s="32" t="str">
        <f>'Invest. IF'!F70</f>
        <v>Partícula incandescente generada sin roce por vehículo, maquinaria o herramienta agrícola</v>
      </c>
      <c r="H70" s="32" t="str">
        <f>'Invest. IF'!G70</f>
        <v>4.2</v>
      </c>
      <c r="I70" s="32" t="str">
        <f>'Invest. IF'!H70</f>
        <v>Faenas agrícolas y pecuarias</v>
      </c>
      <c r="J70" s="32" t="str">
        <f>'Invest. IF'!I70</f>
        <v>Negligentes</v>
      </c>
      <c r="K70" s="32" t="str">
        <f>'Invest. IF'!M70</f>
        <v>Diciembre</v>
      </c>
      <c r="L70" s="32" t="str">
        <f>'Invest. IF'!N70</f>
        <v>ITA_N-69_R20-BARROS NEGROS_NR-231</v>
      </c>
      <c r="M70" s="32" t="str">
        <f>'Invest. IF'!O70</f>
        <v>Linares</v>
      </c>
      <c r="N70" s="32">
        <f>'Invest. IF'!J70</f>
        <v>251124</v>
      </c>
      <c r="O70" s="32">
        <f>'Invest. IF'!K70</f>
        <v>6055734</v>
      </c>
    </row>
    <row r="71" spans="1:15" x14ac:dyDescent="0.2">
      <c r="A71" s="36">
        <f>'Invest. IF'!A71</f>
        <v>70</v>
      </c>
      <c r="B71" s="21" t="e">
        <f>'Invest. IF'!#REF!</f>
        <v>#REF!</v>
      </c>
      <c r="C71" s="32" t="str">
        <f>'Invest. IF'!B71</f>
        <v>Molina</v>
      </c>
      <c r="D71" s="7">
        <f>'Invest. IF'!C71</f>
        <v>184</v>
      </c>
      <c r="E71" s="32" t="str">
        <f>'Invest. IF'!D71</f>
        <v>Santa Rebeca</v>
      </c>
      <c r="F71" s="32" t="str">
        <f>'Invest. IF'!E71</f>
        <v>2.1.1</v>
      </c>
      <c r="G71" s="32" t="str">
        <f>'Invest. IF'!F71</f>
        <v>Provocado, no se identifica la motivación</v>
      </c>
      <c r="H71" s="32" t="str">
        <f>'Invest. IF'!G71</f>
        <v>2.1</v>
      </c>
      <c r="I71" s="32" t="str">
        <f>'Invest. IF'!H71</f>
        <v>Incendios intencionales</v>
      </c>
      <c r="J71" s="32" t="str">
        <f>'Invest. IF'!I71</f>
        <v>Intencionales</v>
      </c>
      <c r="K71" s="32" t="str">
        <f>'Invest. IF'!M71</f>
        <v>Diciembre</v>
      </c>
      <c r="L71" s="32" t="str">
        <f>'Invest. IF'!N71</f>
        <v>ITA_N-70_R20-SANTA REBECA_NR-184</v>
      </c>
      <c r="M71" s="32" t="str">
        <f>'Invest. IF'!O71</f>
        <v>Curicó</v>
      </c>
      <c r="N71" s="32">
        <f>'Invest. IF'!J71</f>
        <v>296247</v>
      </c>
      <c r="O71" s="32">
        <f>'Invest. IF'!K71</f>
        <v>6113950</v>
      </c>
    </row>
    <row r="72" spans="1:15" x14ac:dyDescent="0.2">
      <c r="A72" s="36">
        <f>'Invest. IF'!A72</f>
        <v>71</v>
      </c>
      <c r="B72" s="21" t="e">
        <f>'Invest. IF'!#REF!</f>
        <v>#REF!</v>
      </c>
      <c r="C72" s="32" t="str">
        <f>'Invest. IF'!B72</f>
        <v>Molina</v>
      </c>
      <c r="D72" s="7">
        <f>'Invest. IF'!C72</f>
        <v>183</v>
      </c>
      <c r="E72" s="32" t="str">
        <f>'Invest. IF'!D72</f>
        <v>Pichingal</v>
      </c>
      <c r="F72" s="32" t="str">
        <f>'Invest. IF'!E72</f>
        <v>2.1.1</v>
      </c>
      <c r="G72" s="32" t="str">
        <f>'Invest. IF'!F72</f>
        <v>Provocado, no se identifica la motivación</v>
      </c>
      <c r="H72" s="32" t="str">
        <f>'Invest. IF'!G72</f>
        <v>2.1</v>
      </c>
      <c r="I72" s="32" t="str">
        <f>'Invest. IF'!H72</f>
        <v>Incendios intencionales</v>
      </c>
      <c r="J72" s="32" t="str">
        <f>'Invest. IF'!I72</f>
        <v>Intencionales</v>
      </c>
      <c r="K72" s="32" t="str">
        <f>'Invest. IF'!M72</f>
        <v>Diciembre</v>
      </c>
      <c r="L72" s="32" t="str">
        <f>'Invest. IF'!N72</f>
        <v>ITA_N-71_R20-PICHINGAL_NR-183</v>
      </c>
      <c r="M72" s="32" t="str">
        <f>'Invest. IF'!O72</f>
        <v>Curicó</v>
      </c>
      <c r="N72" s="32">
        <f>'Invest. IF'!J72</f>
        <v>297363</v>
      </c>
      <c r="O72" s="32">
        <f>'Invest. IF'!K72</f>
        <v>6113005</v>
      </c>
    </row>
    <row r="73" spans="1:15" x14ac:dyDescent="0.2">
      <c r="A73" s="36">
        <f>'Invest. IF'!A73</f>
        <v>72</v>
      </c>
      <c r="B73" s="21" t="e">
        <f>'Invest. IF'!#REF!</f>
        <v>#REF!</v>
      </c>
      <c r="C73" s="32" t="str">
        <f>'Invest. IF'!B73</f>
        <v>San Clemente</v>
      </c>
      <c r="D73" s="7">
        <f>'Invest. IF'!C73</f>
        <v>257</v>
      </c>
      <c r="E73" s="32" t="str">
        <f>'Invest. IF'!D73</f>
        <v>Barros Negros</v>
      </c>
      <c r="F73" s="32" t="str">
        <f>'Invest. IF'!E73</f>
        <v>4.6.1</v>
      </c>
      <c r="G73" s="32" t="str">
        <f>'Invest. IF'!F73</f>
        <v>Generado por el uso de equipos o herramientas con fines de construcción, limpieza o montaje de estructuras</v>
      </c>
      <c r="H73" s="32" t="str">
        <f>'Invest. IF'!G73</f>
        <v>4.6</v>
      </c>
      <c r="I73" s="32" t="str">
        <f>'Invest. IF'!H73</f>
        <v>Parcelaciones, edificaciones residenciales, industriales u otras en zonas rurales o de interfaz</v>
      </c>
      <c r="J73" s="32" t="str">
        <f>'Invest. IF'!I73</f>
        <v>Negligentes</v>
      </c>
      <c r="K73" s="32" t="str">
        <f>'Invest. IF'!M73</f>
        <v>Diciembre</v>
      </c>
      <c r="L73" s="32" t="str">
        <f>'Invest. IF'!N73</f>
        <v>ITA_N-72_R20-BAJOS DE LIRCAY_NR-257</v>
      </c>
      <c r="M73" s="32" t="str">
        <f>'Invest. IF'!O73</f>
        <v>Talca</v>
      </c>
      <c r="N73" s="32">
        <f>'Invest. IF'!J73</f>
        <v>285291</v>
      </c>
      <c r="O73" s="32">
        <f>'Invest. IF'!K73</f>
        <v>6070896</v>
      </c>
    </row>
    <row r="74" spans="1:15" x14ac:dyDescent="0.2">
      <c r="A74" s="36">
        <f>'Invest. IF'!A74</f>
        <v>73</v>
      </c>
      <c r="B74" s="21" t="e">
        <f>'Invest. IF'!#REF!</f>
        <v>#REF!</v>
      </c>
      <c r="C74" s="32" t="str">
        <f>'Invest. IF'!B74</f>
        <v>San Rafael</v>
      </c>
      <c r="D74" s="7">
        <f>'Invest. IF'!C74</f>
        <v>227</v>
      </c>
      <c r="E74" s="32" t="str">
        <f>'Invest. IF'!D74</f>
        <v>Pangue abajo</v>
      </c>
      <c r="F74" s="32" t="str">
        <f>'Invest. IF'!E74</f>
        <v>4.2.4</v>
      </c>
      <c r="G74" s="32" t="str">
        <f>'Invest. IF'!F74</f>
        <v>Partícula incandescente generada sin roce por vehículo, maquinaria o herramienta agrícola</v>
      </c>
      <c r="H74" s="32" t="str">
        <f>'Invest. IF'!G74</f>
        <v>4.2</v>
      </c>
      <c r="I74" s="32" t="str">
        <f>'Invest. IF'!H74</f>
        <v>Faenas agrícolas y pecuarias</v>
      </c>
      <c r="J74" s="32" t="str">
        <f>'Invest. IF'!I74</f>
        <v>Negligentes</v>
      </c>
      <c r="K74" s="32" t="str">
        <f>'Invest. IF'!M74</f>
        <v>Diciembre</v>
      </c>
      <c r="L74" s="32" t="str">
        <f>'Invest. IF'!N74</f>
        <v>ITA_N-73_R20-PANGUE ABAJO_NR-227</v>
      </c>
      <c r="M74" s="32" t="str">
        <f>'Invest. IF'!O74</f>
        <v>Talca</v>
      </c>
      <c r="N74" s="32">
        <f>'Invest. IF'!J74</f>
        <v>273331</v>
      </c>
      <c r="O74" s="32">
        <f>'Invest. IF'!K74</f>
        <v>6085071</v>
      </c>
    </row>
    <row r="75" spans="1:15" x14ac:dyDescent="0.2">
      <c r="A75" s="36">
        <f>'Invest. IF'!A75</f>
        <v>74</v>
      </c>
      <c r="B75" s="21" t="e">
        <f>'Invest. IF'!#REF!</f>
        <v>#REF!</v>
      </c>
      <c r="C75" s="32" t="str">
        <f>'Invest. IF'!B75</f>
        <v>Maule</v>
      </c>
      <c r="D75" s="7">
        <f>'Invest. IF'!C75</f>
        <v>267</v>
      </c>
      <c r="E75" s="32" t="str">
        <f>'Invest. IF'!D75</f>
        <v>Cerro Maule</v>
      </c>
      <c r="F75" s="32" t="str">
        <f>'Invest. IF'!E75</f>
        <v>4.3.1</v>
      </c>
      <c r="G75" s="32" t="str">
        <f>'Invest. IF'!F75</f>
        <v>Empleo de fuentes de calor en áreas no habilitadas, como fogatas para cocinar, cocinillas, calefacción, elementos para iluminar u otros.</v>
      </c>
      <c r="H75" s="32" t="str">
        <f>'Invest. IF'!G75</f>
        <v>4.3</v>
      </c>
      <c r="I75" s="32" t="str">
        <f>'Invest. IF'!H75</f>
        <v>Actividades al aire libre (camping, excursiones, caza, pesca, otros)</v>
      </c>
      <c r="J75" s="32" t="str">
        <f>'Invest. IF'!I75</f>
        <v>Negligentes</v>
      </c>
      <c r="K75" s="32" t="str">
        <f>'Invest. IF'!M75</f>
        <v>Diciembre</v>
      </c>
      <c r="L75" s="32" t="str">
        <f>'Invest. IF'!N75</f>
        <v>ITA_N-74_R20-CERRO MAULE_NR-267</v>
      </c>
      <c r="M75" s="32" t="str">
        <f>'Invest. IF'!O75</f>
        <v>Talca</v>
      </c>
      <c r="N75" s="32">
        <f>'Invest. IF'!J75</f>
        <v>254222</v>
      </c>
      <c r="O75" s="32">
        <f>'Invest. IF'!K75</f>
        <v>6061446</v>
      </c>
    </row>
    <row r="76" spans="1:15" x14ac:dyDescent="0.2">
      <c r="A76" s="36">
        <f>'Invest. IF'!A76</f>
        <v>75</v>
      </c>
      <c r="B76" s="21" t="e">
        <f>'Invest. IF'!#REF!</f>
        <v>#REF!</v>
      </c>
      <c r="C76" s="32" t="str">
        <f>'Invest. IF'!B76</f>
        <v>Maule</v>
      </c>
      <c r="D76" s="7">
        <f>'Invest. IF'!C76</f>
        <v>280</v>
      </c>
      <c r="E76" s="32" t="str">
        <f>'Invest. IF'!D76</f>
        <v>Linares de Perales</v>
      </c>
      <c r="F76" s="32" t="str">
        <f>'Invest. IF'!E76</f>
        <v>4.10.4</v>
      </c>
      <c r="G76" s="32" t="str">
        <f>'Invest. IF'!F76</f>
        <v>Acciones asociadas a fumar</v>
      </c>
      <c r="H76" s="32" t="str">
        <f>'Invest. IF'!G76</f>
        <v>4.10</v>
      </c>
      <c r="I76" s="32" t="str">
        <f>'Invest. IF'!H76</f>
        <v>Otras causas</v>
      </c>
      <c r="J76" s="32" t="str">
        <f>'Invest. IF'!I76</f>
        <v>Negligentes</v>
      </c>
      <c r="K76" s="32" t="str">
        <f>'Invest. IF'!M76</f>
        <v>Diciembre</v>
      </c>
      <c r="L76" s="32" t="str">
        <f>'Invest. IF'!N76</f>
        <v>ITA_N-75_R20-LINARES DE PERALES_NR-280</v>
      </c>
      <c r="M76" s="32" t="str">
        <f>'Invest. IF'!O76</f>
        <v>Talca</v>
      </c>
      <c r="N76" s="32">
        <f>'Invest. IF'!J76</f>
        <v>241987</v>
      </c>
      <c r="O76" s="32">
        <f>'Invest. IF'!K76</f>
        <v>6071028</v>
      </c>
    </row>
    <row r="77" spans="1:15" x14ac:dyDescent="0.2">
      <c r="A77" s="36">
        <f>'Invest. IF'!A77</f>
        <v>76</v>
      </c>
      <c r="B77" s="21" t="e">
        <f>'Invest. IF'!#REF!</f>
        <v>#REF!</v>
      </c>
      <c r="C77" s="32" t="str">
        <f>'Invest. IF'!B77</f>
        <v>Maule</v>
      </c>
      <c r="D77" s="7">
        <f>'Invest. IF'!C77</f>
        <v>269</v>
      </c>
      <c r="E77" s="32" t="str">
        <f>'Invest. IF'!D77</f>
        <v>Chacarillas 2</v>
      </c>
      <c r="F77" s="32" t="str">
        <f>'Invest. IF'!E77</f>
        <v>1.6.1</v>
      </c>
      <c r="G77" s="32" t="str">
        <f>'Invest. IF'!F77</f>
        <v>Incendio estructural</v>
      </c>
      <c r="H77" s="32" t="str">
        <f>'Invest. IF'!G77</f>
        <v>1.6</v>
      </c>
      <c r="I77" s="32" t="str">
        <f>'Invest. IF'!H77</f>
        <v>Parcelaciones, edificaciones residenciales, industriales u otras en zonas rurales o de interfaz</v>
      </c>
      <c r="J77" s="32" t="str">
        <f>'Invest. IF'!I77</f>
        <v>Accidentales</v>
      </c>
      <c r="K77" s="32" t="str">
        <f>'Invest. IF'!M77</f>
        <v>Enero</v>
      </c>
      <c r="L77" s="32" t="str">
        <f>'Invest. IF'!N77</f>
        <v>ITA_N-76_R20-CHACARILLAS 2_NR-269</v>
      </c>
      <c r="M77" s="32" t="str">
        <f>'Invest. IF'!O77</f>
        <v>Talca</v>
      </c>
      <c r="N77" s="32">
        <f>'Invest. IF'!J77</f>
        <v>258388</v>
      </c>
      <c r="O77" s="32">
        <f>'Invest. IF'!K77</f>
        <v>6070287</v>
      </c>
    </row>
    <row r="78" spans="1:15" x14ac:dyDescent="0.2">
      <c r="A78" s="36">
        <f>'Invest. IF'!A78</f>
        <v>77</v>
      </c>
      <c r="B78" s="21" t="e">
        <f>'Invest. IF'!#REF!</f>
        <v>#REF!</v>
      </c>
      <c r="C78" s="32" t="str">
        <f>'Invest. IF'!B78</f>
        <v>San Clemente</v>
      </c>
      <c r="D78" s="7">
        <f>'Invest. IF'!C78</f>
        <v>295</v>
      </c>
      <c r="E78" s="32" t="str">
        <f>'Invest. IF'!D78</f>
        <v>Bajos de lircay 2</v>
      </c>
      <c r="F78" s="32" t="str">
        <f>'Invest. IF'!E78</f>
        <v>4.6.1</v>
      </c>
      <c r="G78" s="32" t="str">
        <f>'Invest. IF'!F78</f>
        <v>Generado por el uso de equipos o herramientas con fines de construcción, limpieza o montaje de estructuras</v>
      </c>
      <c r="H78" s="32" t="str">
        <f>'Invest. IF'!G78</f>
        <v>4.6</v>
      </c>
      <c r="I78" s="32" t="str">
        <f>'Invest. IF'!H78</f>
        <v>Parcelaciones, edificaciones residenciales, industriales u otras en zonas rurales o de interfaz</v>
      </c>
      <c r="J78" s="32" t="str">
        <f>'Invest. IF'!I78</f>
        <v>Negligentes</v>
      </c>
      <c r="K78" s="32" t="str">
        <f>'Invest. IF'!M78</f>
        <v>Enero</v>
      </c>
      <c r="L78" s="32" t="str">
        <f>'Invest. IF'!N78</f>
        <v>ITA_N-77_R20-BAJOS DE LIRCAY 2_NR-295</v>
      </c>
      <c r="M78" s="32" t="str">
        <f>'Invest. IF'!O78</f>
        <v>Talca</v>
      </c>
      <c r="N78" s="32">
        <f>'Invest. IF'!J78</f>
        <v>283778</v>
      </c>
      <c r="O78" s="32">
        <f>'Invest. IF'!K78</f>
        <v>6070867</v>
      </c>
    </row>
    <row r="79" spans="1:15" x14ac:dyDescent="0.2">
      <c r="A79" s="36">
        <f>'Invest. IF'!A79</f>
        <v>78</v>
      </c>
      <c r="B79" s="21" t="e">
        <f>'Invest. IF'!#REF!</f>
        <v>#REF!</v>
      </c>
      <c r="C79" s="32" t="str">
        <f>'Invest. IF'!B79</f>
        <v>San Clemente</v>
      </c>
      <c r="D79" s="7">
        <f>'Invest. IF'!C79</f>
        <v>299</v>
      </c>
      <c r="E79" s="32" t="str">
        <f>'Invest. IF'!D79</f>
        <v>Bajos de lircay 3</v>
      </c>
      <c r="F79" s="32" t="str">
        <f>'Invest. IF'!E79</f>
        <v>4.5.1</v>
      </c>
      <c r="G79" s="32" t="str">
        <f>'Invest. IF'!F79</f>
        <v>Rebrote de incendio anterior, declarado extinto</v>
      </c>
      <c r="H79" s="32" t="str">
        <f>'Invest. IF'!G79</f>
        <v>4.5</v>
      </c>
      <c r="I79" s="32" t="str">
        <f>'Invest. IF'!H79</f>
        <v>Actividades de control y extinción de incendios forestales</v>
      </c>
      <c r="J79" s="32" t="str">
        <f>'Invest. IF'!I79</f>
        <v>Negligentes</v>
      </c>
      <c r="K79" s="32" t="str">
        <f>'Invest. IF'!M79</f>
        <v>Enero</v>
      </c>
      <c r="L79" s="32" t="str">
        <f>'Invest. IF'!N79</f>
        <v>ITA_N-78_R20-BAJOS DE LIRCAY 3_NR-299</v>
      </c>
      <c r="M79" s="32" t="str">
        <f>'Invest. IF'!O79</f>
        <v>Talca</v>
      </c>
      <c r="N79" s="32">
        <f>'Invest. IF'!J79</f>
        <v>283824</v>
      </c>
      <c r="O79" s="32">
        <f>'Invest. IF'!K79</f>
        <v>6070817</v>
      </c>
    </row>
    <row r="80" spans="1:15" x14ac:dyDescent="0.2">
      <c r="A80" s="36">
        <f>'Invest. IF'!A80</f>
        <v>79</v>
      </c>
      <c r="B80" s="21" t="e">
        <f>'Invest. IF'!#REF!</f>
        <v>#REF!</v>
      </c>
      <c r="C80" s="32" t="str">
        <f>'Invest. IF'!B80</f>
        <v>Pencahue</v>
      </c>
      <c r="D80" s="7">
        <f>'Invest. IF'!C80</f>
        <v>298</v>
      </c>
      <c r="E80" s="32" t="str">
        <f>'Invest. IF'!D80</f>
        <v>Libún</v>
      </c>
      <c r="F80" s="32" t="str">
        <f>'Invest. IF'!E80</f>
        <v>4.6.1</v>
      </c>
      <c r="G80" s="32" t="str">
        <f>'Invest. IF'!F80</f>
        <v>Generado por el uso de equipos o herramientas con fines de construcción, limpieza o montaje de estructuras</v>
      </c>
      <c r="H80" s="32" t="str">
        <f>'Invest. IF'!G80</f>
        <v>4.6</v>
      </c>
      <c r="I80" s="32" t="str">
        <f>'Invest. IF'!H80</f>
        <v>Parcelaciones, edificaciones residenciales, industriales u otras en zonas rurales o de interfaz</v>
      </c>
      <c r="J80" s="32" t="str">
        <f>'Invest. IF'!I80</f>
        <v>Negligentes</v>
      </c>
      <c r="K80" s="32" t="str">
        <f>'Invest. IF'!M80</f>
        <v>Enero</v>
      </c>
      <c r="L80" s="32" t="str">
        <f>'Invest. IF'!N80</f>
        <v>ITA_N-79_R20-LIBUN_NR-298</v>
      </c>
      <c r="M80" s="32" t="str">
        <f>'Invest. IF'!O80</f>
        <v>Talca</v>
      </c>
      <c r="N80" s="32">
        <f>'Invest. IF'!J80</f>
        <v>236213</v>
      </c>
      <c r="O80" s="32">
        <f>'Invest. IF'!K80</f>
        <v>6086418</v>
      </c>
    </row>
    <row r="81" spans="1:15" x14ac:dyDescent="0.2">
      <c r="A81" s="36">
        <f>'Invest. IF'!A81</f>
        <v>80</v>
      </c>
      <c r="B81" s="21" t="e">
        <f>'Invest. IF'!#REF!</f>
        <v>#REF!</v>
      </c>
      <c r="C81" s="32" t="str">
        <f>'Invest. IF'!B81</f>
        <v>Pencahue</v>
      </c>
      <c r="D81" s="7">
        <f>'Invest. IF'!C81</f>
        <v>304</v>
      </c>
      <c r="E81" s="32" t="str">
        <f>'Invest. IF'!D81</f>
        <v>Las Vertientes</v>
      </c>
      <c r="F81" s="32" t="str">
        <f>'Invest. IF'!E81</f>
        <v>4.6.2</v>
      </c>
      <c r="G81" s="32" t="str">
        <f>'Invest. IF'!F81</f>
        <v>Generado por conexión  irregular de energía eléctrica</v>
      </c>
      <c r="H81" s="32" t="str">
        <f>'Invest. IF'!G81</f>
        <v>4.6</v>
      </c>
      <c r="I81" s="32" t="str">
        <f>'Invest. IF'!H81</f>
        <v>Parcelaciones, edificaciones residenciales, industriales u otras en zonas rurales o de interfaz</v>
      </c>
      <c r="J81" s="32" t="str">
        <f>'Invest. IF'!I81</f>
        <v>Negligentes</v>
      </c>
      <c r="K81" s="32" t="str">
        <f>'Invest. IF'!M81</f>
        <v>Enero</v>
      </c>
      <c r="L81" s="32" t="str">
        <f>'Invest. IF'!N81</f>
        <v>ITA_N-80_R20-LAS VERTIENTES_NR-304</v>
      </c>
      <c r="M81" s="32" t="str">
        <f>'Invest. IF'!O81</f>
        <v>Talca</v>
      </c>
      <c r="N81" s="32">
        <f>'Invest. IF'!J81</f>
        <v>245512</v>
      </c>
      <c r="O81" s="32">
        <f>'Invest. IF'!K81</f>
        <v>6079370</v>
      </c>
    </row>
    <row r="82" spans="1:15" x14ac:dyDescent="0.2">
      <c r="A82" s="36">
        <f>'Invest. IF'!A82</f>
        <v>81</v>
      </c>
      <c r="B82" s="21" t="e">
        <f>'Invest. IF'!#REF!</f>
        <v>#REF!</v>
      </c>
      <c r="C82" s="32" t="str">
        <f>'Invest. IF'!B82</f>
        <v>San Javier</v>
      </c>
      <c r="D82" s="7">
        <f>'Invest. IF'!C82</f>
        <v>314</v>
      </c>
      <c r="E82" s="32" t="str">
        <f>'Invest. IF'!D82</f>
        <v>Codellima</v>
      </c>
      <c r="F82" s="32" t="str">
        <f>'Invest. IF'!E82</f>
        <v>4.6.2</v>
      </c>
      <c r="G82" s="32" t="str">
        <f>'Invest. IF'!F82</f>
        <v>Generado por conexión  irregular de energía eléctrica</v>
      </c>
      <c r="H82" s="32" t="str">
        <f>'Invest. IF'!G82</f>
        <v>4.6</v>
      </c>
      <c r="I82" s="32" t="str">
        <f>'Invest. IF'!H82</f>
        <v>Parcelaciones, edificaciones residenciales, industriales u otras en zonas rurales o de interfaz</v>
      </c>
      <c r="J82" s="32" t="str">
        <f>'Invest. IF'!I82</f>
        <v>Negligentes</v>
      </c>
      <c r="K82" s="32" t="str">
        <f>'Invest. IF'!M82</f>
        <v>Enero</v>
      </c>
      <c r="L82" s="32" t="str">
        <f>'Invest. IF'!N82</f>
        <v>ITA_N-81_R20-LAS VERTIENTES_NR-314</v>
      </c>
      <c r="M82" s="32" t="str">
        <f>'Invest. IF'!O82</f>
        <v>Linares</v>
      </c>
      <c r="N82" s="32">
        <f>'Invest. IF'!J82</f>
        <v>764311</v>
      </c>
      <c r="O82" s="32">
        <f>'Invest. IF'!K82</f>
        <v>6054945</v>
      </c>
    </row>
    <row r="83" spans="1:15" x14ac:dyDescent="0.2">
      <c r="A83" s="36">
        <f>'Invest. IF'!A83</f>
        <v>82</v>
      </c>
      <c r="B83" s="21" t="e">
        <f>'Invest. IF'!#REF!</f>
        <v>#REF!</v>
      </c>
      <c r="C83" s="32" t="str">
        <f>'Invest. IF'!B83</f>
        <v>Longaví</v>
      </c>
      <c r="D83" s="7">
        <f>'Invest. IF'!C83</f>
        <v>310</v>
      </c>
      <c r="E83" s="32" t="str">
        <f>'Invest. IF'!D83</f>
        <v>El Manzano</v>
      </c>
      <c r="F83" s="32" t="str">
        <f>'Invest. IF'!E83</f>
        <v>4.8.1</v>
      </c>
      <c r="G83" s="32" t="str">
        <f>'Invest. IF'!F83</f>
        <v>Quema no avisada con fines de limpieza en canales, cunetas, cercos o caminos (en predios particulares o públicos) que se propaga libre y sin control</v>
      </c>
      <c r="H83" s="32" t="str">
        <f>'Invest. IF'!G83</f>
        <v>4.8</v>
      </c>
      <c r="I83" s="32" t="str">
        <f>'Invest. IF'!H83</f>
        <v>Otras quemas</v>
      </c>
      <c r="J83" s="32" t="str">
        <f>'Invest. IF'!I83</f>
        <v>Negligentes</v>
      </c>
      <c r="K83" s="32" t="str">
        <f>'Invest. IF'!M83</f>
        <v>Enero</v>
      </c>
      <c r="L83" s="32" t="str">
        <f>'Invest. IF'!N83</f>
        <v>ITA_N-82_R20-EL MANZANO_NR-310</v>
      </c>
      <c r="M83" s="32" t="str">
        <f>'Invest. IF'!O83</f>
        <v>Linares</v>
      </c>
      <c r="N83" s="32">
        <f>'Invest. IF'!J83</f>
        <v>257341</v>
      </c>
      <c r="O83" s="32">
        <f>'Invest. IF'!K83</f>
        <v>6017841</v>
      </c>
    </row>
    <row r="84" spans="1:15" x14ac:dyDescent="0.2">
      <c r="A84" s="36">
        <f>'Invest. IF'!A84</f>
        <v>83</v>
      </c>
      <c r="B84" s="21" t="e">
        <f>'Invest. IF'!#REF!</f>
        <v>#REF!</v>
      </c>
      <c r="C84" s="32" t="str">
        <f>'Invest. IF'!B84</f>
        <v>Retiro</v>
      </c>
      <c r="D84" s="7">
        <f>'Invest. IF'!C84</f>
        <v>313</v>
      </c>
      <c r="E84" s="32" t="str">
        <f>'Invest. IF'!D84</f>
        <v>Bureo</v>
      </c>
      <c r="F84" s="32" t="str">
        <f>'Invest. IF'!E84</f>
        <v>4.2.1</v>
      </c>
      <c r="G84" s="32" t="str">
        <f>'Invest. IF'!F84</f>
        <v>Quema no avisada de desechos agrícolas que se propaga libre y sin control</v>
      </c>
      <c r="H84" s="32" t="str">
        <f>'Invest. IF'!G84</f>
        <v>4.2</v>
      </c>
      <c r="I84" s="32" t="str">
        <f>'Invest. IF'!H84</f>
        <v>Faenas agrícolas y pecuarias</v>
      </c>
      <c r="J84" s="32" t="str">
        <f>'Invest. IF'!I84</f>
        <v>Negligentes</v>
      </c>
      <c r="K84" s="32" t="str">
        <f>'Invest. IF'!M84</f>
        <v>Enero</v>
      </c>
      <c r="L84" s="32" t="str">
        <f>'Invest. IF'!N84</f>
        <v>ITA_N-83_R20-BUREO_NR-313</v>
      </c>
      <c r="M84" s="32" t="str">
        <f>'Invest. IF'!O84</f>
        <v>Linares</v>
      </c>
      <c r="N84" s="32">
        <f>'Invest. IF'!J84</f>
        <v>244616</v>
      </c>
      <c r="O84" s="32">
        <f>'Invest. IF'!K84</f>
        <v>6024451</v>
      </c>
    </row>
    <row r="85" spans="1:15" x14ac:dyDescent="0.2">
      <c r="A85" s="36">
        <f>'Invest. IF'!A85</f>
        <v>84</v>
      </c>
      <c r="B85" s="21" t="e">
        <f>'Invest. IF'!#REF!</f>
        <v>#REF!</v>
      </c>
      <c r="C85" s="32" t="str">
        <f>'Invest. IF'!B85</f>
        <v>San Javier</v>
      </c>
      <c r="D85" s="7">
        <f>'Invest. IF'!C85</f>
        <v>312</v>
      </c>
      <c r="E85" s="32" t="str">
        <f>'Invest. IF'!D85</f>
        <v>Purapel</v>
      </c>
      <c r="F85" s="32" t="str">
        <f>'Invest. IF'!E85</f>
        <v>4.6.2</v>
      </c>
      <c r="G85" s="32" t="str">
        <f>'Invest. IF'!F85</f>
        <v>Generado por conexión  irregular de energía eléctrica</v>
      </c>
      <c r="H85" s="32" t="str">
        <f>'Invest. IF'!G85</f>
        <v>4.6</v>
      </c>
      <c r="I85" s="32" t="str">
        <f>'Invest. IF'!H85</f>
        <v>Parcelaciones, edificaciones residenciales, industriales u otras en zonas rurales o de interfaz</v>
      </c>
      <c r="J85" s="32" t="str">
        <f>'Invest. IF'!I85</f>
        <v>Negligentes</v>
      </c>
      <c r="K85" s="32" t="str">
        <f>'Invest. IF'!M85</f>
        <v>Enero</v>
      </c>
      <c r="L85" s="32" t="str">
        <f>'Invest. IF'!N85</f>
        <v>ITA_N-84_R20-PURAPEL_NR-312</v>
      </c>
      <c r="M85" s="32" t="str">
        <f>'Invest. IF'!O85</f>
        <v>Linares</v>
      </c>
      <c r="N85" s="32">
        <f>'Invest. IF'!J85</f>
        <v>768875</v>
      </c>
      <c r="O85" s="32">
        <f>'Invest. IF'!K85</f>
        <v>6042872</v>
      </c>
    </row>
    <row r="86" spans="1:15" x14ac:dyDescent="0.2">
      <c r="A86" s="36">
        <f>'Invest. IF'!A86</f>
        <v>85</v>
      </c>
      <c r="B86" s="21" t="e">
        <f>'Invest. IF'!#REF!</f>
        <v>#REF!</v>
      </c>
      <c r="C86" s="32" t="str">
        <f>'Invest. IF'!B86</f>
        <v>San Javier</v>
      </c>
      <c r="D86" s="7">
        <f>'Invest. IF'!C86</f>
        <v>128</v>
      </c>
      <c r="E86" s="32" t="str">
        <f>'Invest. IF'!D86</f>
        <v>Vado La Patagua</v>
      </c>
      <c r="F86" s="32" t="str">
        <f>'Invest. IF'!E86</f>
        <v>4.6.5</v>
      </c>
      <c r="G86" s="32" t="str">
        <f>'Invest. IF'!F86</f>
        <v>Empleo de fuentes de calor en actividades relacionadas a parcelaciones (asados, tijerales, fogatas, otros)</v>
      </c>
      <c r="H86" s="32" t="str">
        <f>'Invest. IF'!G86</f>
        <v>4.6</v>
      </c>
      <c r="I86" s="32" t="str">
        <f>'Invest. IF'!H86</f>
        <v>Parcelaciones, edificaciones residenciales, industriales u otras en zonas rurales o de interfaz</v>
      </c>
      <c r="J86" s="32" t="str">
        <f>'Invest. IF'!I86</f>
        <v>Negligentes</v>
      </c>
      <c r="K86" s="32" t="str">
        <f>'Invest. IF'!M86</f>
        <v>Enero</v>
      </c>
      <c r="L86" s="32" t="str">
        <f>'Invest. IF'!N86</f>
        <v>ITA_N-85_R20-VADO LA PATAGUA_NR-128</v>
      </c>
      <c r="M86" s="32" t="str">
        <f>'Invest. IF'!O86</f>
        <v>Linares</v>
      </c>
      <c r="N86" s="32">
        <f>'Invest. IF'!J86</f>
        <v>768301</v>
      </c>
      <c r="O86" s="32">
        <f>'Invest. IF'!K86</f>
        <v>6041518</v>
      </c>
    </row>
    <row r="87" spans="1:15" x14ac:dyDescent="0.2">
      <c r="A87" s="36">
        <f>'Invest. IF'!A87</f>
        <v>86</v>
      </c>
      <c r="B87" s="21" t="e">
        <f>'Invest. IF'!#REF!</f>
        <v>#REF!</v>
      </c>
      <c r="C87" s="32" t="str">
        <f>'Invest. IF'!B87</f>
        <v>Teno</v>
      </c>
      <c r="D87" s="7">
        <f>'Invest. IF'!C87</f>
        <v>212</v>
      </c>
      <c r="E87" s="32" t="str">
        <f>'Invest. IF'!D87</f>
        <v>Viluco</v>
      </c>
      <c r="F87" s="32" t="str">
        <f>'Invest. IF'!E87</f>
        <v>4.2.8</v>
      </c>
      <c r="G87" s="32" t="str">
        <f>'Invest. IF'!F87</f>
        <v>Otras causas negligentes no clasificadas en faenas agrícolas y pecuarias</v>
      </c>
      <c r="H87" s="32" t="str">
        <f>'Invest. IF'!G87</f>
        <v>4.2</v>
      </c>
      <c r="I87" s="32" t="str">
        <f>'Invest. IF'!H87</f>
        <v>Faenas agrícolas y pecuarias</v>
      </c>
      <c r="J87" s="32" t="str">
        <f>'Invest. IF'!I87</f>
        <v>Negligentes</v>
      </c>
      <c r="K87" s="32" t="str">
        <f>'Invest. IF'!M87</f>
        <v>Enero</v>
      </c>
      <c r="L87" s="32" t="str">
        <f>'Invest. IF'!N87</f>
        <v>ITA_N-86_R20-VILUCO_NR-212</v>
      </c>
      <c r="M87" s="32" t="str">
        <f>'Invest. IF'!O87</f>
        <v>Curicó</v>
      </c>
      <c r="N87" s="32">
        <f>'Invest. IF'!J87</f>
        <v>302808</v>
      </c>
      <c r="O87" s="32">
        <f>'Invest. IF'!K87</f>
        <v>6138663</v>
      </c>
    </row>
    <row r="88" spans="1:15" x14ac:dyDescent="0.2">
      <c r="A88" s="36">
        <f>'Invest. IF'!A88</f>
        <v>87</v>
      </c>
      <c r="B88" s="21" t="e">
        <f>'Invest. IF'!#REF!</f>
        <v>#REF!</v>
      </c>
      <c r="C88" s="32" t="str">
        <f>'Invest. IF'!B88</f>
        <v>Teno</v>
      </c>
      <c r="D88" s="7">
        <f>'Invest. IF'!C88</f>
        <v>279</v>
      </c>
      <c r="E88" s="32" t="str">
        <f>'Invest. IF'!D88</f>
        <v>Canal Endesa</v>
      </c>
      <c r="F88" s="32" t="str">
        <f>'Invest. IF'!E88</f>
        <v>4.2.8</v>
      </c>
      <c r="G88" s="32" t="str">
        <f>'Invest. IF'!F88</f>
        <v>Otras causas negligentes no clasificadas en faenas agrícolas y pecuarias</v>
      </c>
      <c r="H88" s="32" t="str">
        <f>'Invest. IF'!G88</f>
        <v>4.2</v>
      </c>
      <c r="I88" s="32" t="str">
        <f>'Invest. IF'!H88</f>
        <v>Faenas agrícolas y pecuarias</v>
      </c>
      <c r="J88" s="32" t="str">
        <f>'Invest. IF'!I88</f>
        <v>Negligentes</v>
      </c>
      <c r="K88" s="32" t="str">
        <f>'Invest. IF'!M88</f>
        <v>Enero</v>
      </c>
      <c r="L88" s="32" t="str">
        <f>'Invest. IF'!N88</f>
        <v>ITA_N-87_R20-CANAL ENDESA_NR-279</v>
      </c>
      <c r="M88" s="32" t="str">
        <f>'Invest. IF'!O88</f>
        <v>Curicó</v>
      </c>
      <c r="N88" s="32">
        <f>'Invest. IF'!J88</f>
        <v>303077</v>
      </c>
      <c r="O88" s="32">
        <f>'Invest. IF'!K88</f>
        <v>6139492</v>
      </c>
    </row>
    <row r="89" spans="1:15" x14ac:dyDescent="0.2">
      <c r="A89" s="36">
        <f>'Invest. IF'!A89</f>
        <v>88</v>
      </c>
      <c r="B89" s="21" t="e">
        <f>'Invest. IF'!#REF!</f>
        <v>#REF!</v>
      </c>
      <c r="C89" s="32" t="str">
        <f>'Invest. IF'!B89</f>
        <v>Teno</v>
      </c>
      <c r="D89" s="7">
        <f>'Invest. IF'!C89</f>
        <v>235</v>
      </c>
      <c r="E89" s="32" t="str">
        <f>'Invest. IF'!D89</f>
        <v>Santa Filomena</v>
      </c>
      <c r="F89" s="32" t="str">
        <f>'Invest. IF'!E89</f>
        <v>4.8.2</v>
      </c>
      <c r="G89" s="32" t="str">
        <f>'Invest. IF'!F89</f>
        <v>Quema de basura residencial o desechos vegetales</v>
      </c>
      <c r="H89" s="32" t="str">
        <f>'Invest. IF'!G89</f>
        <v>4.8</v>
      </c>
      <c r="I89" s="32" t="str">
        <f>'Invest. IF'!H89</f>
        <v>Otras quemas</v>
      </c>
      <c r="J89" s="32" t="str">
        <f>'Invest. IF'!I89</f>
        <v>Negligentes</v>
      </c>
      <c r="K89" s="32" t="str">
        <f>'Invest. IF'!M89</f>
        <v>Enero</v>
      </c>
      <c r="L89" s="32" t="str">
        <f>'Invest. IF'!N89</f>
        <v>ITA_N-88_R20-SANTA FILOMENA_NR-235</v>
      </c>
      <c r="M89" s="32" t="str">
        <f>'Invest. IF'!O89</f>
        <v>Curicó</v>
      </c>
      <c r="N89" s="32">
        <f>'Invest. IF'!J89</f>
        <v>302640</v>
      </c>
      <c r="O89" s="32">
        <f>'Invest. IF'!K89</f>
        <v>6138852</v>
      </c>
    </row>
    <row r="90" spans="1:15" x14ac:dyDescent="0.2">
      <c r="A90" s="36">
        <f>'Invest. IF'!A90</f>
        <v>89</v>
      </c>
      <c r="B90" s="21" t="e">
        <f>'Invest. IF'!#REF!</f>
        <v>#REF!</v>
      </c>
      <c r="C90" s="32" t="str">
        <f>'Invest. IF'!B90</f>
        <v>Longaví</v>
      </c>
      <c r="D90" s="7">
        <f>'Invest. IF'!C90</f>
        <v>296</v>
      </c>
      <c r="E90" s="32" t="str">
        <f>'Invest. IF'!D90</f>
        <v>San Gabriel</v>
      </c>
      <c r="F90" s="32" t="str">
        <f>'Invest. IF'!E90</f>
        <v>1.7.3</v>
      </c>
      <c r="G90" s="32" t="str">
        <f>'Invest. IF'!F90</f>
        <v>Generado por vehículo  (roce metálico, tubo de escape, desperfecto, otros)</v>
      </c>
      <c r="H90" s="32" t="str">
        <f>'Invest. IF'!G90</f>
        <v>1.7</v>
      </c>
      <c r="I90" s="32" t="str">
        <f>'Invest. IF'!H90</f>
        <v>Originados por desplazamiento de personas, vehículos o aeronaves</v>
      </c>
      <c r="J90" s="32" t="str">
        <f>'Invest. IF'!I90</f>
        <v>Accidentales</v>
      </c>
      <c r="K90" s="32" t="str">
        <f>'Invest. IF'!M90</f>
        <v>Enero</v>
      </c>
      <c r="L90" s="32" t="str">
        <f>'Invest. IF'!N90</f>
        <v>ITA_N-89_R20-SAN GABRIEL_NR-296</v>
      </c>
      <c r="M90" s="32" t="str">
        <f>'Invest. IF'!O90</f>
        <v>Linares</v>
      </c>
      <c r="N90" s="32">
        <f>'Invest. IF'!J90</f>
        <v>261443</v>
      </c>
      <c r="O90" s="32">
        <f>'Invest. IF'!K90</f>
        <v>6025312</v>
      </c>
    </row>
    <row r="91" spans="1:15" x14ac:dyDescent="0.2">
      <c r="A91" s="36">
        <f>'Invest. IF'!A91</f>
        <v>90</v>
      </c>
      <c r="B91" s="21" t="e">
        <f>'Invest. IF'!#REF!</f>
        <v>#REF!</v>
      </c>
      <c r="C91" s="32" t="str">
        <f>'Invest. IF'!B91</f>
        <v>Longaví</v>
      </c>
      <c r="D91" s="7">
        <f>'Invest. IF'!C91</f>
        <v>329</v>
      </c>
      <c r="E91" s="32" t="str">
        <f>'Invest. IF'!D91</f>
        <v>El Lucero</v>
      </c>
      <c r="F91" s="32" t="str">
        <f>'Invest. IF'!E91</f>
        <v>4.6.5</v>
      </c>
      <c r="G91" s="32" t="str">
        <f>'Invest. IF'!F91</f>
        <v>Empleo de fuentes de calor en actividades relacionadas a parcelaciones (asados, tijerales, fogatas, otros)</v>
      </c>
      <c r="H91" s="32" t="str">
        <f>'Invest. IF'!G91</f>
        <v>4.6</v>
      </c>
      <c r="I91" s="32" t="str">
        <f>'Invest. IF'!H91</f>
        <v>Parcelaciones, edificaciones residenciales, industriales u otras en zonas rurales o de interfaz</v>
      </c>
      <c r="J91" s="32" t="str">
        <f>'Invest. IF'!I91</f>
        <v>Negligentes</v>
      </c>
      <c r="K91" s="32" t="str">
        <f>'Invest. IF'!M91</f>
        <v>Enero</v>
      </c>
      <c r="L91" s="32" t="str">
        <f>'Invest. IF'!N91</f>
        <v>ITA_N-90_R20-EL LUCERO_NR-329</v>
      </c>
      <c r="M91" s="32" t="str">
        <f>'Invest. IF'!O91</f>
        <v>Linares</v>
      </c>
      <c r="N91" s="32">
        <f>'Invest. IF'!J91</f>
        <v>254828</v>
      </c>
      <c r="O91" s="32">
        <f>'Invest. IF'!K91</f>
        <v>6011863</v>
      </c>
    </row>
    <row r="92" spans="1:15" x14ac:dyDescent="0.2">
      <c r="A92" s="36">
        <f>'Invest. IF'!A92</f>
        <v>91</v>
      </c>
      <c r="B92" s="21" t="e">
        <f>'Invest. IF'!#REF!</f>
        <v>#REF!</v>
      </c>
      <c r="C92" s="32" t="str">
        <f>'Invest. IF'!B92</f>
        <v>Linares</v>
      </c>
      <c r="D92" s="7">
        <f>'Invest. IF'!C92</f>
        <v>294</v>
      </c>
      <c r="E92" s="32" t="str">
        <f>'Invest. IF'!D92</f>
        <v>Salida Huapi</v>
      </c>
      <c r="F92" s="32" t="str">
        <f>'Invest. IF'!E92</f>
        <v>4.2.1</v>
      </c>
      <c r="G92" s="32" t="str">
        <f>'Invest. IF'!F92</f>
        <v>Quema no avisada de desechos agrícolas que se propaga libre y sin control</v>
      </c>
      <c r="H92" s="32" t="str">
        <f>'Invest. IF'!G92</f>
        <v>4.2</v>
      </c>
      <c r="I92" s="32" t="str">
        <f>'Invest. IF'!H92</f>
        <v>Faenas agrícolas y pecuarias</v>
      </c>
      <c r="J92" s="32" t="str">
        <f>'Invest. IF'!I92</f>
        <v>Negligentes</v>
      </c>
      <c r="K92" s="32" t="str">
        <f>'Invest. IF'!M92</f>
        <v>Enero</v>
      </c>
      <c r="L92" s="32" t="str">
        <f>'Invest. IF'!N92</f>
        <v>ITA_N-91_R20- SALIDA HUAPI_NR-294</v>
      </c>
      <c r="M92" s="32" t="str">
        <f>'Invest. IF'!O92</f>
        <v>Linares</v>
      </c>
      <c r="N92" s="32">
        <f>'Invest. IF'!J92</f>
        <v>265830</v>
      </c>
      <c r="O92" s="32">
        <f>'Invest. IF'!K92</f>
        <v>6026965</v>
      </c>
    </row>
    <row r="93" spans="1:15" x14ac:dyDescent="0.2">
      <c r="A93" s="36">
        <f>'Invest. IF'!A93</f>
        <v>92</v>
      </c>
      <c r="B93" s="21" t="e">
        <f>'Invest. IF'!#REF!</f>
        <v>#REF!</v>
      </c>
      <c r="C93" s="32" t="str">
        <f>'Invest. IF'!B93</f>
        <v>Maule</v>
      </c>
      <c r="D93" s="7">
        <f>'Invest. IF'!C93</f>
        <v>273</v>
      </c>
      <c r="E93" s="32" t="str">
        <f>'Invest. IF'!D93</f>
        <v>Barros Negros</v>
      </c>
      <c r="F93" s="32" t="str">
        <f>'Invest. IF'!E93</f>
        <v>5.1.1</v>
      </c>
      <c r="G93" s="32" t="str">
        <f>'Invest. IF'!F93</f>
        <v>Se investiga pero no es posible establecer la causa</v>
      </c>
      <c r="H93" s="32" t="str">
        <f>'Invest. IF'!G93</f>
        <v>5.1</v>
      </c>
      <c r="I93" s="32" t="str">
        <f>'Invest. IF'!H93</f>
        <v>Incendios de causa indeterminada</v>
      </c>
      <c r="J93" s="32" t="str">
        <f>'Invest. IF'!I93</f>
        <v>Indeterminadas</v>
      </c>
      <c r="K93" s="32" t="str">
        <f>'Invest. IF'!M93</f>
        <v>Enero</v>
      </c>
      <c r="L93" s="32" t="str">
        <f>'Invest. IF'!N93</f>
        <v>ITA_N-92_R20-BARROS NEGROS_NR-273</v>
      </c>
      <c r="M93" s="32" t="str">
        <f>'Invest. IF'!O93</f>
        <v>Talca</v>
      </c>
      <c r="N93" s="32">
        <f>'Invest. IF'!J93</f>
        <v>256436</v>
      </c>
      <c r="O93" s="32">
        <f>'Invest. IF'!K93</f>
        <v>6077735</v>
      </c>
    </row>
    <row r="94" spans="1:15" x14ac:dyDescent="0.2">
      <c r="A94" s="36">
        <f>'Invest. IF'!A94</f>
        <v>93</v>
      </c>
      <c r="B94" s="21" t="e">
        <f>'Invest. IF'!#REF!</f>
        <v>#REF!</v>
      </c>
      <c r="C94" s="32" t="str">
        <f>'Invest. IF'!B94</f>
        <v>Cauquenes</v>
      </c>
      <c r="D94" s="7">
        <f>'Invest. IF'!C94</f>
        <v>348</v>
      </c>
      <c r="E94" s="32" t="str">
        <f>'Invest. IF'!D94</f>
        <v>San Pedro</v>
      </c>
      <c r="F94" s="32" t="str">
        <f>'Invest. IF'!E94</f>
        <v>4.6</v>
      </c>
      <c r="G94" s="32">
        <f>'Invest. IF'!F94</f>
        <v>0</v>
      </c>
      <c r="H94" s="32" t="str">
        <f>'Invest. IF'!G94</f>
        <v>4.6</v>
      </c>
      <c r="I94" s="32" t="str">
        <f>'Invest. IF'!H94</f>
        <v>Parcelaciones, edificaciones residenciales, industriales u otras en zonas rurales o de interfaz</v>
      </c>
      <c r="J94" s="32" t="str">
        <f>'Invest. IF'!I94</f>
        <v>Negligentes</v>
      </c>
      <c r="K94" s="32" t="str">
        <f>'Invest. IF'!M94</f>
        <v>Enero</v>
      </c>
      <c r="L94" s="32" t="str">
        <f>'Invest. IF'!N94</f>
        <v>ITA_N-93_R20-SAN PEDRO_NR-348</v>
      </c>
      <c r="M94" s="32" t="str">
        <f>'Invest. IF'!O94</f>
        <v>Cauquenes</v>
      </c>
      <c r="N94" s="32">
        <f>'Invest. IF'!J94</f>
        <v>754468</v>
      </c>
      <c r="O94" s="32">
        <f>'Invest. IF'!K94</f>
        <v>6021760</v>
      </c>
    </row>
    <row r="95" spans="1:15" x14ac:dyDescent="0.2">
      <c r="A95" s="36">
        <f>'Invest. IF'!A95</f>
        <v>94</v>
      </c>
      <c r="B95" s="21" t="e">
        <f>'Invest. IF'!#REF!</f>
        <v>#REF!</v>
      </c>
      <c r="C95" s="32" t="str">
        <f>'Invest. IF'!B95</f>
        <v>Rauco</v>
      </c>
      <c r="D95" s="7">
        <f>'Invest. IF'!C95</f>
        <v>323</v>
      </c>
      <c r="E95" s="32" t="str">
        <f>'Invest. IF'!D95</f>
        <v>Majadillas</v>
      </c>
      <c r="F95" s="32" t="str">
        <f>'Invest. IF'!E95</f>
        <v>4.6.5</v>
      </c>
      <c r="G95" s="32" t="str">
        <f>'Invest. IF'!F95</f>
        <v>Empleo de fuentes de calor en actividades relacionadas a parcelaciones (asados, tijerales, fogatas, otros)</v>
      </c>
      <c r="H95" s="32" t="str">
        <f>'Invest. IF'!G95</f>
        <v>4.6</v>
      </c>
      <c r="I95" s="32" t="str">
        <f>'Invest. IF'!H95</f>
        <v>Parcelaciones, edificaciones residenciales, industriales u otras en zonas rurales o de interfaz</v>
      </c>
      <c r="J95" s="32" t="str">
        <f>'Invest. IF'!I95</f>
        <v>Negligentes</v>
      </c>
      <c r="K95" s="32" t="str">
        <f>'Invest. IF'!M95</f>
        <v>Enero</v>
      </c>
      <c r="L95" s="32" t="str">
        <f>'Invest. IF'!N95</f>
        <v>ITA_N-94_R20-MAJADILLAS_NR-323</v>
      </c>
      <c r="M95" s="32" t="str">
        <f>'Invest. IF'!O95</f>
        <v>Curicó</v>
      </c>
      <c r="N95" s="32">
        <f>'Invest. IF'!J95</f>
        <v>271118</v>
      </c>
      <c r="O95" s="32">
        <f>'Invest. IF'!K95</f>
        <v>6122040</v>
      </c>
    </row>
    <row r="96" spans="1:15" x14ac:dyDescent="0.2">
      <c r="A96" s="36">
        <f>'Invest. IF'!A96</f>
        <v>95</v>
      </c>
      <c r="B96" s="21" t="e">
        <f>'Invest. IF'!#REF!</f>
        <v>#REF!</v>
      </c>
      <c r="C96" s="32" t="str">
        <f>'Invest. IF'!B96</f>
        <v>Teno</v>
      </c>
      <c r="D96" s="7">
        <f>'Invest. IF'!C96</f>
        <v>340</v>
      </c>
      <c r="E96" s="32" t="str">
        <f>'Invest. IF'!D96</f>
        <v>Rincón de Morales</v>
      </c>
      <c r="F96" s="32" t="str">
        <f>'Invest. IF'!E96</f>
        <v>1.2.2</v>
      </c>
      <c r="G96" s="32" t="str">
        <f>'Invest. IF'!F96</f>
        <v>Partículas incandescentes  generadas por roce de maquinaria o herramienta agrícola con rocas, cercos o material metálico</v>
      </c>
      <c r="H96" s="32" t="str">
        <f>'Invest. IF'!G96</f>
        <v>1.2</v>
      </c>
      <c r="I96" s="32" t="str">
        <f>'Invest. IF'!H96</f>
        <v>Faenas agrícolas y pecuarias</v>
      </c>
      <c r="J96" s="32" t="str">
        <f>'Invest. IF'!I96</f>
        <v>Accidentales</v>
      </c>
      <c r="K96" s="32" t="str">
        <f>'Invest. IF'!M96</f>
        <v>Enero</v>
      </c>
      <c r="L96" s="32" t="str">
        <f>'Invest. IF'!N96</f>
        <v>ITA_N-95_R20-RINCÓN DE MORALES_NR-340</v>
      </c>
      <c r="M96" s="32" t="str">
        <f>'Invest. IF'!O96</f>
        <v>Curicó</v>
      </c>
      <c r="N96" s="32">
        <f>'Invest. IF'!J96</f>
        <v>294907</v>
      </c>
      <c r="O96" s="32">
        <f>'Invest. IF'!K96</f>
        <v>6142302</v>
      </c>
    </row>
    <row r="97" spans="1:15" x14ac:dyDescent="0.2">
      <c r="A97" s="36">
        <f>'Invest. IF'!A97</f>
        <v>96</v>
      </c>
      <c r="B97" s="21" t="e">
        <f>'Invest. IF'!#REF!</f>
        <v>#REF!</v>
      </c>
      <c r="C97" s="32" t="str">
        <f>'Invest. IF'!B97</f>
        <v>Licantén</v>
      </c>
      <c r="D97" s="7">
        <f>'Invest. IF'!C97</f>
        <v>306</v>
      </c>
      <c r="E97" s="32" t="str">
        <f>'Invest. IF'!D97</f>
        <v>Rancura</v>
      </c>
      <c r="F97" s="32" t="str">
        <f>'Invest. IF'!E97</f>
        <v>4.3.1</v>
      </c>
      <c r="G97" s="32" t="str">
        <f>'Invest. IF'!F97</f>
        <v>Empleo de fuentes de calor en áreas no habilitadas, como fogatas para cocinar, cocinillas, calefacción, elementos para iluminar u otros.</v>
      </c>
      <c r="H97" s="32" t="str">
        <f>'Invest. IF'!G97</f>
        <v>4.3</v>
      </c>
      <c r="I97" s="32" t="str">
        <f>'Invest. IF'!H97</f>
        <v>Actividades al aire libre (camping, excursiones, caza, pesca, otros)</v>
      </c>
      <c r="J97" s="32" t="str">
        <f>'Invest. IF'!I97</f>
        <v>Negligentes</v>
      </c>
      <c r="K97" s="32" t="str">
        <f>'Invest. IF'!M97</f>
        <v>Enero</v>
      </c>
      <c r="L97" s="32" t="str">
        <f>'Invest. IF'!N97</f>
        <v>ITA_N-96_R20-RANCURA_NR-306</v>
      </c>
      <c r="M97" s="32" t="str">
        <f>'Invest. IF'!O97</f>
        <v>Curicó</v>
      </c>
      <c r="N97" s="32">
        <f>'Invest. IF'!J97</f>
        <v>757545</v>
      </c>
      <c r="O97" s="32">
        <f>'Invest. IF'!K97</f>
        <v>6127645</v>
      </c>
    </row>
    <row r="98" spans="1:15" x14ac:dyDescent="0.2">
      <c r="A98" s="36">
        <f>'Invest. IF'!A98</f>
        <v>97</v>
      </c>
      <c r="B98" s="21" t="e">
        <f>'Invest. IF'!#REF!</f>
        <v>#REF!</v>
      </c>
      <c r="C98" s="32" t="str">
        <f>'Invest. IF'!B98</f>
        <v>Talca</v>
      </c>
      <c r="D98" s="7">
        <f>'Invest. IF'!C98</f>
        <v>371</v>
      </c>
      <c r="E98" s="32" t="str">
        <f>'Invest. IF'!D98</f>
        <v>Circunvalación norte</v>
      </c>
      <c r="F98" s="32" t="str">
        <f>'Invest. IF'!E98</f>
        <v>4.6.1</v>
      </c>
      <c r="G98" s="32" t="str">
        <f>'Invest. IF'!F98</f>
        <v>Generado por el uso de equipos o herramientas con fines de construcción, limpieza o montaje de estructuras</v>
      </c>
      <c r="H98" s="32" t="str">
        <f>'Invest. IF'!G98</f>
        <v>4.6</v>
      </c>
      <c r="I98" s="32" t="str">
        <f>'Invest. IF'!H98</f>
        <v>Parcelaciones, edificaciones residenciales, industriales u otras en zonas rurales o de interfaz</v>
      </c>
      <c r="J98" s="32" t="str">
        <f>'Invest. IF'!I98</f>
        <v>Negligentes</v>
      </c>
      <c r="K98" s="32" t="str">
        <f>'Invest. IF'!M98</f>
        <v>Enero</v>
      </c>
      <c r="L98" s="32" t="str">
        <f>'Invest. IF'!N98</f>
        <v>ITA_N-97_R20-CIRCUNVALACIÓN NORTE_NR-371</v>
      </c>
      <c r="M98" s="32" t="str">
        <f>'Invest. IF'!O98</f>
        <v>Talca</v>
      </c>
      <c r="N98" s="32">
        <f>'Invest. IF'!J98</f>
        <v>257100</v>
      </c>
      <c r="O98" s="32">
        <f>'Invest. IF'!K98</f>
        <v>6078290</v>
      </c>
    </row>
    <row r="99" spans="1:15" x14ac:dyDescent="0.2">
      <c r="A99" s="36">
        <f>'Invest. IF'!A99</f>
        <v>98</v>
      </c>
      <c r="B99" s="21" t="e">
        <f>'Invest. IF'!#REF!</f>
        <v>#REF!</v>
      </c>
      <c r="C99" s="32" t="str">
        <f>'Invest. IF'!B99</f>
        <v>Río Claro</v>
      </c>
      <c r="D99" s="7">
        <f>'Invest. IF'!C99</f>
        <v>256</v>
      </c>
      <c r="E99" s="32" t="str">
        <f>'Invest. IF'!D99</f>
        <v>El Álamo</v>
      </c>
      <c r="F99" s="32" t="str">
        <f>'Invest. IF'!E99</f>
        <v>4.10.12</v>
      </c>
      <c r="G99" s="32" t="str">
        <f>'Invest. IF'!F99</f>
        <v>Otras actividades negligentes no clasificadas</v>
      </c>
      <c r="H99" s="32" t="str">
        <f>'Invest. IF'!G99</f>
        <v>4.10</v>
      </c>
      <c r="I99" s="32" t="str">
        <f>'Invest. IF'!H99</f>
        <v>Otras causas</v>
      </c>
      <c r="J99" s="32" t="str">
        <f>'Invest. IF'!I99</f>
        <v>Negligentes</v>
      </c>
      <c r="K99" s="32" t="str">
        <f>'Invest. IF'!M99</f>
        <v>Enero</v>
      </c>
      <c r="L99" s="32" t="str">
        <f>'Invest. IF'!N99</f>
        <v>ITA_N-98_R20-EL ALAMO_NR-256</v>
      </c>
      <c r="M99" s="32" t="str">
        <f>'Invest. IF'!O99</f>
        <v>Talca</v>
      </c>
      <c r="N99" s="32">
        <f>'Invest. IF'!J99</f>
        <v>284975</v>
      </c>
      <c r="O99" s="32">
        <f>'Invest. IF'!K99</f>
        <v>6096774</v>
      </c>
    </row>
    <row r="100" spans="1:15" x14ac:dyDescent="0.2">
      <c r="A100" s="36">
        <f>'Invest. IF'!A100</f>
        <v>99</v>
      </c>
      <c r="B100" s="21" t="e">
        <f>'Invest. IF'!#REF!</f>
        <v>#REF!</v>
      </c>
      <c r="C100" s="32" t="str">
        <f>'Invest. IF'!B100</f>
        <v>Río Claro</v>
      </c>
      <c r="D100" s="7">
        <f>'Invest. IF'!C100</f>
        <v>305</v>
      </c>
      <c r="E100" s="32" t="str">
        <f>'Invest. IF'!D100</f>
        <v>Las Brujas 3</v>
      </c>
      <c r="F100" s="32" t="str">
        <f>'Invest. IF'!E100</f>
        <v>4.10.4</v>
      </c>
      <c r="G100" s="32" t="str">
        <f>'Invest. IF'!F100</f>
        <v>Acciones asociadas a fumar</v>
      </c>
      <c r="H100" s="32" t="str">
        <f>'Invest. IF'!G100</f>
        <v>4.10</v>
      </c>
      <c r="I100" s="32" t="str">
        <f>'Invest. IF'!H100</f>
        <v>Otras causas</v>
      </c>
      <c r="J100" s="32" t="str">
        <f>'Invest. IF'!I100</f>
        <v>Negligentes</v>
      </c>
      <c r="K100" s="32" t="str">
        <f>'Invest. IF'!M100</f>
        <v>Enero</v>
      </c>
      <c r="L100" s="32" t="str">
        <f>'Invest. IF'!N100</f>
        <v>ITA_N-99_R20-LAS BRUJAS 3_NR-305</v>
      </c>
      <c r="M100" s="32" t="str">
        <f>'Invest. IF'!O100</f>
        <v>Talca</v>
      </c>
      <c r="N100" s="32">
        <f>'Invest. IF'!J100</f>
        <v>294168</v>
      </c>
      <c r="O100" s="32">
        <f>'Invest. IF'!K100</f>
        <v>6096026</v>
      </c>
    </row>
    <row r="101" spans="1:15" x14ac:dyDescent="0.2">
      <c r="A101" s="36">
        <f>'Invest. IF'!A101</f>
        <v>100</v>
      </c>
      <c r="B101" s="21" t="e">
        <f>'Invest. IF'!#REF!</f>
        <v>#REF!</v>
      </c>
      <c r="C101" s="32" t="str">
        <f>'Invest. IF'!B101</f>
        <v>Pencahue</v>
      </c>
      <c r="D101" s="7">
        <f>'Invest. IF'!C101</f>
        <v>327</v>
      </c>
      <c r="E101" s="32" t="str">
        <f>'Invest. IF'!D101</f>
        <v>Loma Verde</v>
      </c>
      <c r="F101" s="32" t="str">
        <f>'Invest. IF'!E101</f>
        <v>4.6.1</v>
      </c>
      <c r="G101" s="32" t="str">
        <f>'Invest. IF'!F101</f>
        <v>Generado por el uso de equipos o herramientas con fines de construcción, limpieza o montaje de estructuras</v>
      </c>
      <c r="H101" s="32" t="str">
        <f>'Invest. IF'!G101</f>
        <v>4.6</v>
      </c>
      <c r="I101" s="32" t="str">
        <f>'Invest. IF'!H101</f>
        <v>Parcelaciones, edificaciones residenciales, industriales u otras en zonas rurales o de interfaz</v>
      </c>
      <c r="J101" s="32" t="str">
        <f>'Invest. IF'!I101</f>
        <v>Negligentes</v>
      </c>
      <c r="K101" s="32" t="str">
        <f>'Invest. IF'!M101</f>
        <v>Enero</v>
      </c>
      <c r="L101" s="32" t="str">
        <f>'Invest. IF'!N101</f>
        <v>ITA_N-100_R20-LOMA VERDE_NR-327</v>
      </c>
      <c r="M101" s="32" t="str">
        <f>'Invest. IF'!O101</f>
        <v>Talca</v>
      </c>
      <c r="N101" s="32">
        <f>'Invest. IF'!J101</f>
        <v>250471</v>
      </c>
      <c r="O101" s="32">
        <f>'Invest. IF'!K101</f>
        <v>6076108</v>
      </c>
    </row>
    <row r="102" spans="1:15" x14ac:dyDescent="0.2">
      <c r="A102" s="36">
        <f>'Invest. IF'!A102</f>
        <v>101</v>
      </c>
      <c r="B102" s="21" t="e">
        <f>'Invest. IF'!#REF!</f>
        <v>#REF!</v>
      </c>
      <c r="C102" s="32" t="str">
        <f>'Invest. IF'!B102</f>
        <v>Pencahue</v>
      </c>
      <c r="D102" s="7">
        <f>'Invest. IF'!C102</f>
        <v>136</v>
      </c>
      <c r="E102" s="32" t="str">
        <f>'Invest. IF'!D102</f>
        <v>Rauquen</v>
      </c>
      <c r="F102" s="32" t="str">
        <f>'Invest. IF'!E102</f>
        <v>4.9.4</v>
      </c>
      <c r="G102" s="32" t="str">
        <f>'Invest. IF'!F102</f>
        <v>Sobrecalentamiento de estructuras asociados al sistema eléctrico (poste, transformador, uniones, aisladores, otros)</v>
      </c>
      <c r="H102" s="32" t="str">
        <f>'Invest. IF'!G102</f>
        <v>4.9</v>
      </c>
      <c r="I102" s="32" t="str">
        <f>'Invest. IF'!H102</f>
        <v>Líneas eléctricas</v>
      </c>
      <c r="J102" s="32" t="str">
        <f>'Invest. IF'!I102</f>
        <v>Negligentes</v>
      </c>
      <c r="K102" s="32" t="str">
        <f>'Invest. IF'!M102</f>
        <v>Enero</v>
      </c>
      <c r="L102" s="32" t="str">
        <f>'Invest. IF'!N102</f>
        <v>ITA_N-101_R20-RAUQUEN_NR-136</v>
      </c>
      <c r="M102" s="32" t="str">
        <f>'Invest. IF'!O102</f>
        <v>Talca</v>
      </c>
      <c r="N102" s="32">
        <f>'Invest. IF'!J102</f>
        <v>247350</v>
      </c>
      <c r="O102" s="32">
        <f>'Invest. IF'!K102</f>
        <v>6073530</v>
      </c>
    </row>
    <row r="103" spans="1:15" x14ac:dyDescent="0.2">
      <c r="A103" s="36">
        <f>'Invest. IF'!A103</f>
        <v>102</v>
      </c>
      <c r="B103" s="21" t="e">
        <f>'Invest. IF'!#REF!</f>
        <v>#REF!</v>
      </c>
      <c r="C103" s="32" t="str">
        <f>'Invest. IF'!B103</f>
        <v>Maule</v>
      </c>
      <c r="D103" s="7">
        <f>'Invest. IF'!C103</f>
        <v>401</v>
      </c>
      <c r="E103" s="32" t="str">
        <f>'Invest. IF'!D103</f>
        <v>Colín</v>
      </c>
      <c r="F103" s="32" t="str">
        <f>'Invest. IF'!E103</f>
        <v>4.2.8</v>
      </c>
      <c r="G103" s="32" t="str">
        <f>'Invest. IF'!F103</f>
        <v>Otras causas negligentes no clasificadas en faenas agrícolas y pecuarias</v>
      </c>
      <c r="H103" s="32" t="str">
        <f>'Invest. IF'!G103</f>
        <v>4.2</v>
      </c>
      <c r="I103" s="32" t="str">
        <f>'Invest. IF'!H103</f>
        <v>Faenas agrícolas y pecuarias</v>
      </c>
      <c r="J103" s="32" t="str">
        <f>'Invest. IF'!I103</f>
        <v>Negligentes</v>
      </c>
      <c r="K103" s="32" t="str">
        <f>'Invest. IF'!M103</f>
        <v>Enero</v>
      </c>
      <c r="L103" s="32" t="str">
        <f>'Invest. IF'!N103</f>
        <v>ITA_N-102_R20-COLÍN_NR-401</v>
      </c>
      <c r="M103" s="32" t="str">
        <f>'Invest. IF'!O103</f>
        <v>Talca</v>
      </c>
      <c r="N103" s="32">
        <f>'Invest. IF'!J103</f>
        <v>248444</v>
      </c>
      <c r="O103" s="32">
        <f>'Invest. IF'!K103</f>
        <v>6070660</v>
      </c>
    </row>
    <row r="104" spans="1:15" x14ac:dyDescent="0.2">
      <c r="A104" s="36">
        <f>'Invest. IF'!A104</f>
        <v>103</v>
      </c>
      <c r="B104" s="21" t="e">
        <f>'Invest. IF'!#REF!</f>
        <v>#REF!</v>
      </c>
      <c r="C104" s="32" t="str">
        <f>'Invest. IF'!B104</f>
        <v>San Clemente</v>
      </c>
      <c r="D104" s="7">
        <f>'Invest. IF'!C104</f>
        <v>405</v>
      </c>
      <c r="E104" s="32" t="str">
        <f>'Invest. IF'!D104</f>
        <v>Los Largos</v>
      </c>
      <c r="F104" s="32" t="str">
        <f>'Invest. IF'!E104</f>
        <v>4.2.8</v>
      </c>
      <c r="G104" s="32" t="str">
        <f>'Invest. IF'!F104</f>
        <v>Otras causas negligentes no clasificadas en faenas agrícolas y pecuarias</v>
      </c>
      <c r="H104" s="32" t="str">
        <f>'Invest. IF'!G104</f>
        <v>4.2</v>
      </c>
      <c r="I104" s="32" t="str">
        <f>'Invest. IF'!H104</f>
        <v>Faenas agrícolas y pecuarias</v>
      </c>
      <c r="J104" s="32" t="str">
        <f>'Invest. IF'!I104</f>
        <v>Negligentes</v>
      </c>
      <c r="K104" s="32" t="str">
        <f>'Invest. IF'!M104</f>
        <v>Enero</v>
      </c>
      <c r="L104" s="32" t="str">
        <f>'Invest. IF'!N104</f>
        <v>ITA_N-103_R20-LOS LARGOS_NR-405</v>
      </c>
      <c r="M104" s="32" t="str">
        <f>'Invest. IF'!O104</f>
        <v>Talca</v>
      </c>
      <c r="N104" s="32">
        <f>'Invest. IF'!J104</f>
        <v>273299</v>
      </c>
      <c r="O104" s="32">
        <f>'Invest. IF'!K104</f>
        <v>6074928</v>
      </c>
    </row>
    <row r="105" spans="1:15" x14ac:dyDescent="0.2">
      <c r="A105" s="36">
        <f>'Invest. IF'!A105</f>
        <v>104</v>
      </c>
      <c r="B105" s="21" t="e">
        <f>'Invest. IF'!#REF!</f>
        <v>#REF!</v>
      </c>
      <c r="C105" s="32" t="str">
        <f>'Invest. IF'!B105</f>
        <v>Retiro</v>
      </c>
      <c r="D105" s="7">
        <f>'Invest. IF'!C105</f>
        <v>409</v>
      </c>
      <c r="E105" s="32" t="str">
        <f>'Invest. IF'!D105</f>
        <v>Curacura</v>
      </c>
      <c r="F105" s="32" t="str">
        <f>'Invest. IF'!E105</f>
        <v>4.2.8</v>
      </c>
      <c r="G105" s="32" t="str">
        <f>'Invest. IF'!F105</f>
        <v>Otras causas negligentes no clasificadas en faenas agrícolas y pecuarias</v>
      </c>
      <c r="H105" s="32" t="str">
        <f>'Invest. IF'!G105</f>
        <v>4.2</v>
      </c>
      <c r="I105" s="32" t="str">
        <f>'Invest. IF'!H105</f>
        <v>Faenas agrícolas y pecuarias</v>
      </c>
      <c r="J105" s="32" t="str">
        <f>'Invest. IF'!I105</f>
        <v>Negligentes</v>
      </c>
      <c r="K105" s="32" t="str">
        <f>'Invest. IF'!M105</f>
        <v>Enero</v>
      </c>
      <c r="L105" s="32" t="str">
        <f>'Invest. IF'!N105</f>
        <v>ITA_N-104_R20-CURACURA_NR-409</v>
      </c>
      <c r="M105" s="32" t="str">
        <f>'Invest. IF'!O105</f>
        <v>Linares</v>
      </c>
      <c r="N105" s="32">
        <f>'Invest. IF'!J105</f>
        <v>237516</v>
      </c>
      <c r="O105" s="32">
        <f>'Invest. IF'!K105</f>
        <v>6019422</v>
      </c>
    </row>
    <row r="106" spans="1:15" x14ac:dyDescent="0.2">
      <c r="A106" s="36">
        <f>'Invest. IF'!A106</f>
        <v>105</v>
      </c>
      <c r="B106" s="21" t="e">
        <f>'Invest. IF'!#REF!</f>
        <v>#REF!</v>
      </c>
      <c r="C106" s="32" t="str">
        <f>'Invest. IF'!B106</f>
        <v>Hualañé</v>
      </c>
      <c r="D106" s="7">
        <f>'Invest. IF'!C106</f>
        <v>246</v>
      </c>
      <c r="E106" s="32" t="str">
        <f>'Invest. IF'!D106</f>
        <v>Orilla de Valdés</v>
      </c>
      <c r="F106" s="32" t="str">
        <f>'Invest. IF'!E106</f>
        <v>4.10.12</v>
      </c>
      <c r="G106" s="32" t="str">
        <f>'Invest. IF'!F106</f>
        <v>Otras actividades negligentes no clasificadas</v>
      </c>
      <c r="H106" s="32" t="str">
        <f>'Invest. IF'!G106</f>
        <v>4.10</v>
      </c>
      <c r="I106" s="32" t="str">
        <f>'Invest. IF'!H106</f>
        <v>Otras causas</v>
      </c>
      <c r="J106" s="32" t="str">
        <f>'Invest. IF'!I106</f>
        <v>Negligentes</v>
      </c>
      <c r="K106" s="32" t="str">
        <f>'Invest. IF'!M106</f>
        <v>Enero</v>
      </c>
      <c r="L106" s="32" t="str">
        <f>'Invest. IF'!N106</f>
        <v>ITA_N-105_R20-ORILLA DE VALDES_NR-246</v>
      </c>
      <c r="M106" s="32" t="str">
        <f>'Invest. IF'!O106</f>
        <v>Curicó</v>
      </c>
      <c r="N106" s="32">
        <f>'Invest. IF'!J106</f>
        <v>260437</v>
      </c>
      <c r="O106" s="32">
        <f>'Invest. IF'!K106</f>
        <v>6115498</v>
      </c>
    </row>
    <row r="107" spans="1:15" x14ac:dyDescent="0.2">
      <c r="A107" s="36">
        <f>'Invest. IF'!A107</f>
        <v>106</v>
      </c>
      <c r="B107" s="21" t="e">
        <f>'Invest. IF'!#REF!</f>
        <v>#REF!</v>
      </c>
      <c r="C107" s="32" t="str">
        <f>'Invest. IF'!B107</f>
        <v>Hualañé</v>
      </c>
      <c r="D107" s="7">
        <f>'Invest. IF'!C107</f>
        <v>234</v>
      </c>
      <c r="E107" s="32" t="str">
        <f>'Invest. IF'!D107</f>
        <v>La Rinconada</v>
      </c>
      <c r="F107" s="32" t="str">
        <f>'Invest. IF'!E107</f>
        <v>4.6.5</v>
      </c>
      <c r="G107" s="32" t="str">
        <f>'Invest. IF'!F107</f>
        <v>Empleo de fuentes de calor en actividades relacionadas a parcelaciones (asados, tijerales, fogatas, otros)</v>
      </c>
      <c r="H107" s="32" t="str">
        <f>'Invest. IF'!G107</f>
        <v>4.6</v>
      </c>
      <c r="I107" s="32" t="str">
        <f>'Invest. IF'!H107</f>
        <v>Parcelaciones, edificaciones residenciales, industriales u otras en zonas rurales o de interfaz</v>
      </c>
      <c r="J107" s="32" t="str">
        <f>'Invest. IF'!I107</f>
        <v>Negligentes</v>
      </c>
      <c r="K107" s="32" t="str">
        <f>'Invest. IF'!M107</f>
        <v>Enero</v>
      </c>
      <c r="L107" s="32" t="str">
        <f>'Invest. IF'!N107</f>
        <v>ITA_N-106_R20-LA RINCONADA_NR-234</v>
      </c>
      <c r="M107" s="32" t="str">
        <f>'Invest. IF'!O107</f>
        <v>Curicó</v>
      </c>
      <c r="N107" s="32">
        <f>'Invest. IF'!J107</f>
        <v>245529</v>
      </c>
      <c r="O107" s="32">
        <f>'Invest. IF'!K107</f>
        <v>6128417</v>
      </c>
    </row>
    <row r="108" spans="1:15" x14ac:dyDescent="0.2">
      <c r="A108" s="36">
        <f>'Invest. IF'!A108</f>
        <v>107</v>
      </c>
      <c r="B108" s="21" t="e">
        <f>'Invest. IF'!#REF!</f>
        <v>#REF!</v>
      </c>
      <c r="C108" s="32" t="str">
        <f>'Invest. IF'!B108</f>
        <v>Parral</v>
      </c>
      <c r="D108" s="7">
        <f>'Invest. IF'!C108</f>
        <v>422</v>
      </c>
      <c r="E108" s="32" t="str">
        <f>'Invest. IF'!D108</f>
        <v>Santa Carolina</v>
      </c>
      <c r="F108" s="32" t="str">
        <f>'Invest. IF'!E108</f>
        <v>4.6.5</v>
      </c>
      <c r="G108" s="32" t="str">
        <f>'Invest. IF'!F108</f>
        <v>Empleo de fuentes de calor en actividades relacionadas a parcelaciones (asados, tijerales, fogatas, otros)</v>
      </c>
      <c r="H108" s="32" t="str">
        <f>'Invest. IF'!G108</f>
        <v>4.6</v>
      </c>
      <c r="I108" s="32" t="str">
        <f>'Invest. IF'!H108</f>
        <v>Parcelaciones, edificaciones residenciales, industriales u otras en zonas rurales o de interfaz</v>
      </c>
      <c r="J108" s="32" t="str">
        <f>'Invest. IF'!I108</f>
        <v>Negligentes</v>
      </c>
      <c r="K108" s="32" t="str">
        <f>'Invest. IF'!M108</f>
        <v>Enero</v>
      </c>
      <c r="L108" s="32" t="str">
        <f>'Invest. IF'!N108</f>
        <v>ITA_N-107_R20-SANTA CAROLINA_NR-422</v>
      </c>
      <c r="M108" s="32" t="str">
        <f>'Invest. IF'!O108</f>
        <v>Linares</v>
      </c>
      <c r="N108" s="32">
        <f>'Invest. IF'!J108</f>
        <v>248027</v>
      </c>
      <c r="O108" s="32">
        <f>'Invest. IF'!K108</f>
        <v>5988820</v>
      </c>
    </row>
    <row r="109" spans="1:15" x14ac:dyDescent="0.2">
      <c r="A109" s="36">
        <f>'Invest. IF'!A109</f>
        <v>108</v>
      </c>
      <c r="B109" s="21" t="e">
        <f>'Invest. IF'!#REF!</f>
        <v>#REF!</v>
      </c>
      <c r="C109" s="32" t="str">
        <f>'Invest. IF'!B109</f>
        <v>Romeral</v>
      </c>
      <c r="D109" s="7">
        <f>'Invest. IF'!C109</f>
        <v>330</v>
      </c>
      <c r="E109" s="32" t="str">
        <f>'Invest. IF'!D109</f>
        <v>La Yesca</v>
      </c>
      <c r="F109" s="32" t="str">
        <f>'Invest. IF'!E109</f>
        <v>4.2.1</v>
      </c>
      <c r="G109" s="32" t="str">
        <f>'Invest. IF'!F109</f>
        <v>Quema no avisada de desechos agrícolas que se propaga libre y sin control</v>
      </c>
      <c r="H109" s="32" t="str">
        <f>'Invest. IF'!G109</f>
        <v>4.2</v>
      </c>
      <c r="I109" s="32" t="str">
        <f>'Invest. IF'!H109</f>
        <v>Faenas agrícolas y pecuarias</v>
      </c>
      <c r="J109" s="32" t="str">
        <f>'Invest. IF'!I109</f>
        <v>Negligentes</v>
      </c>
      <c r="K109" s="32" t="str">
        <f>'Invest. IF'!M109</f>
        <v>Enero</v>
      </c>
      <c r="L109" s="32" t="str">
        <f>'Invest. IF'!N109</f>
        <v>ITA_N-108_R20-LA YESCA_NR-330</v>
      </c>
      <c r="M109" s="32" t="str">
        <f>'Invest. IF'!O109</f>
        <v>Curicó</v>
      </c>
      <c r="N109" s="32">
        <f>'Invest. IF'!J109</f>
        <v>310877</v>
      </c>
      <c r="O109" s="32">
        <f>'Invest. IF'!K109</f>
        <v>6130957</v>
      </c>
    </row>
    <row r="110" spans="1:15" x14ac:dyDescent="0.2">
      <c r="A110" s="36">
        <f>'Invest. IF'!A110</f>
        <v>109</v>
      </c>
      <c r="B110" s="21" t="e">
        <f>'Invest. IF'!#REF!</f>
        <v>#REF!</v>
      </c>
      <c r="C110" s="32" t="str">
        <f>'Invest. IF'!B110</f>
        <v>San Rafael</v>
      </c>
      <c r="D110" s="7">
        <f>'Invest. IF'!C110</f>
        <v>457</v>
      </c>
      <c r="E110" s="32" t="str">
        <f>'Invest. IF'!D110</f>
        <v>Pangue abajo 2</v>
      </c>
      <c r="F110" s="32" t="str">
        <f>'Invest. IF'!E110</f>
        <v>4.6.5</v>
      </c>
      <c r="G110" s="32" t="str">
        <f>'Invest. IF'!F110</f>
        <v>Empleo de fuentes de calor en actividades relacionadas a parcelaciones (asados, tijerales, fogatas, otros)</v>
      </c>
      <c r="H110" s="32" t="str">
        <f>'Invest. IF'!G110</f>
        <v>4.6</v>
      </c>
      <c r="I110" s="32" t="str">
        <f>'Invest. IF'!H110</f>
        <v>Parcelaciones, edificaciones residenciales, industriales u otras en zonas rurales o de interfaz</v>
      </c>
      <c r="J110" s="32" t="str">
        <f>'Invest. IF'!I110</f>
        <v>Negligentes</v>
      </c>
      <c r="K110" s="32" t="str">
        <f>'Invest. IF'!M110</f>
        <v>Febrero</v>
      </c>
      <c r="L110" s="32" t="str">
        <f>'Invest. IF'!N110</f>
        <v>ITA_N-109_R20-PANGUE ABAJO 2_NR-457</v>
      </c>
      <c r="M110" s="32" t="str">
        <f>'Invest. IF'!O110</f>
        <v>Talca</v>
      </c>
      <c r="N110" s="32">
        <f>'Invest. IF'!J110</f>
        <v>273636</v>
      </c>
      <c r="O110" s="32">
        <f>'Invest. IF'!K110</f>
        <v>6084426</v>
      </c>
    </row>
    <row r="111" spans="1:15" x14ac:dyDescent="0.2">
      <c r="A111" s="36">
        <f>'Invest. IF'!A111</f>
        <v>110</v>
      </c>
      <c r="B111" s="21" t="e">
        <f>'Invest. IF'!#REF!</f>
        <v>#REF!</v>
      </c>
      <c r="C111" s="32" t="str">
        <f>'Invest. IF'!B111</f>
        <v>Villa Alegre</v>
      </c>
      <c r="D111" s="7">
        <f>'Invest. IF'!C111</f>
        <v>452</v>
      </c>
      <c r="E111" s="32" t="str">
        <f>'Invest. IF'!D111</f>
        <v>Las Violetas</v>
      </c>
      <c r="F111" s="32" t="str">
        <f>'Invest. IF'!E111</f>
        <v>1.9.1</v>
      </c>
      <c r="G111" s="32" t="str">
        <f>'Invest. IF'!F111</f>
        <v>Contacto de fauna con el tendido eléctrico</v>
      </c>
      <c r="H111" s="32" t="str">
        <f>'Invest. IF'!G111</f>
        <v>1.9</v>
      </c>
      <c r="I111" s="32" t="str">
        <f>'Invest. IF'!H111</f>
        <v>Líneas eléctricas</v>
      </c>
      <c r="J111" s="32" t="str">
        <f>'Invest. IF'!I111</f>
        <v>Accidentales</v>
      </c>
      <c r="K111" s="32" t="str">
        <f>'Invest. IF'!M111</f>
        <v>Febrero</v>
      </c>
      <c r="L111" s="32" t="str">
        <f>'Invest. IF'!N111</f>
        <v>ITA_N-110_R20-LAS VIOLETAS_NR-452</v>
      </c>
      <c r="M111" s="32" t="str">
        <f>'Invest. IF'!O111</f>
        <v>Linares</v>
      </c>
      <c r="N111" s="32">
        <f>'Invest. IF'!J111</f>
        <v>257508</v>
      </c>
      <c r="O111" s="32">
        <f>'Invest. IF'!K111</f>
        <v>6043131</v>
      </c>
    </row>
    <row r="112" spans="1:15" x14ac:dyDescent="0.2">
      <c r="A112" s="36">
        <f>'Invest. IF'!A112</f>
        <v>111</v>
      </c>
      <c r="B112" s="21" t="e">
        <f>'Invest. IF'!#REF!</f>
        <v>#REF!</v>
      </c>
      <c r="C112" s="32" t="str">
        <f>'Invest. IF'!B112</f>
        <v>Villa Alegre</v>
      </c>
      <c r="D112" s="7">
        <f>'Invest. IF'!C112</f>
        <v>309</v>
      </c>
      <c r="E112" s="32" t="str">
        <f>'Invest. IF'!D112</f>
        <v>Lagunillas</v>
      </c>
      <c r="F112" s="32" t="str">
        <f>'Invest. IF'!E112</f>
        <v>5.1.1</v>
      </c>
      <c r="G112" s="32" t="str">
        <f>'Invest. IF'!F112</f>
        <v>Se investiga pero no es posible establecer la causa</v>
      </c>
      <c r="H112" s="32" t="str">
        <f>'Invest. IF'!G112</f>
        <v>5.1</v>
      </c>
      <c r="I112" s="32" t="str">
        <f>'Invest. IF'!H112</f>
        <v>Incendios de causa indeterminada</v>
      </c>
      <c r="J112" s="32" t="str">
        <f>'Invest. IF'!I112</f>
        <v>Indeterminadas</v>
      </c>
      <c r="K112" s="32" t="str">
        <f>'Invest. IF'!M112</f>
        <v>Febrero</v>
      </c>
      <c r="L112" s="32" t="str">
        <f>'Invest. IF'!N112</f>
        <v>ITA_N-111_R20-LAGUNILLAS_NR-309</v>
      </c>
      <c r="M112" s="32" t="str">
        <f>'Invest. IF'!O112</f>
        <v>Linares</v>
      </c>
      <c r="N112" s="32">
        <f>'Invest. IF'!J112</f>
        <v>258495</v>
      </c>
      <c r="O112" s="32">
        <f>'Invest. IF'!K112</f>
        <v>6049561</v>
      </c>
    </row>
    <row r="113" spans="1:15" x14ac:dyDescent="0.2">
      <c r="A113" s="36">
        <f>'Invest. IF'!A113</f>
        <v>112</v>
      </c>
      <c r="B113" s="21" t="e">
        <f>'Invest. IF'!#REF!</f>
        <v>#REF!</v>
      </c>
      <c r="C113" s="32" t="str">
        <f>'Invest. IF'!B113</f>
        <v>San Rafael</v>
      </c>
      <c r="D113" s="7">
        <f>'Invest. IF'!C113</f>
        <v>291</v>
      </c>
      <c r="E113" s="32" t="str">
        <f>'Invest. IF'!D113</f>
        <v>Cuesta Los Perros</v>
      </c>
      <c r="F113" s="32" t="str">
        <f>'Invest. IF'!E113</f>
        <v>4.10.4</v>
      </c>
      <c r="G113" s="32" t="str">
        <f>'Invest. IF'!F113</f>
        <v>Acciones asociadas a fumar</v>
      </c>
      <c r="H113" s="32" t="str">
        <f>'Invest. IF'!G113</f>
        <v>4.10</v>
      </c>
      <c r="I113" s="32" t="str">
        <f>'Invest. IF'!H113</f>
        <v>Otras causas</v>
      </c>
      <c r="J113" s="32" t="str">
        <f>'Invest. IF'!I113</f>
        <v>Negligentes</v>
      </c>
      <c r="K113" s="32" t="str">
        <f>'Invest. IF'!M113</f>
        <v>Febrero</v>
      </c>
      <c r="L113" s="32" t="str">
        <f>'Invest. IF'!N113</f>
        <v>ITA_N-112_R20-CUESTA LOS PERROS_NR-291</v>
      </c>
      <c r="M113" s="32" t="str">
        <f>'Invest. IF'!O113</f>
        <v>Talca</v>
      </c>
      <c r="N113" s="32">
        <f>'Invest. IF'!J113</f>
        <v>268605</v>
      </c>
      <c r="O113" s="32">
        <f>'Invest. IF'!K113</f>
        <v>6097447</v>
      </c>
    </row>
    <row r="114" spans="1:15" x14ac:dyDescent="0.2">
      <c r="A114" s="36">
        <f>'Invest. IF'!A114</f>
        <v>113</v>
      </c>
      <c r="B114" s="21" t="e">
        <f>'Invest. IF'!#REF!</f>
        <v>#REF!</v>
      </c>
      <c r="C114" s="32" t="str">
        <f>'Invest. IF'!B114</f>
        <v>Sagrada Familia</v>
      </c>
      <c r="D114" s="7">
        <f>'Invest. IF'!C114</f>
        <v>331</v>
      </c>
      <c r="E114" s="32" t="str">
        <f>'Invest. IF'!D114</f>
        <v>Huaquén 2</v>
      </c>
      <c r="F114" s="32" t="str">
        <f>'Invest. IF'!E114</f>
        <v>4.10.5</v>
      </c>
      <c r="G114" s="32" t="str">
        <f>'Invest. IF'!F114</f>
        <v>Empleo de fuentes de calor por menores de edad</v>
      </c>
      <c r="H114" s="32" t="str">
        <f>'Invest. IF'!G114</f>
        <v>4.10</v>
      </c>
      <c r="I114" s="32" t="str">
        <f>'Invest. IF'!H114</f>
        <v>Otras causas</v>
      </c>
      <c r="J114" s="32" t="str">
        <f>'Invest. IF'!I114</f>
        <v>Negligentes</v>
      </c>
      <c r="K114" s="32" t="str">
        <f>'Invest. IF'!M114</f>
        <v>Febrero</v>
      </c>
      <c r="L114" s="32" t="str">
        <f>'Invest. IF'!N114</f>
        <v>ITA_N-113_R20-HUAQUEN 2_NR-331</v>
      </c>
      <c r="M114" s="32" t="str">
        <f>'Invest. IF'!O114</f>
        <v>Curicó</v>
      </c>
      <c r="N114" s="32">
        <f>'Invest. IF'!J114</f>
        <v>255635</v>
      </c>
      <c r="O114" s="32">
        <f>'Invest. IF'!K114</f>
        <v>6110034</v>
      </c>
    </row>
    <row r="115" spans="1:15" x14ac:dyDescent="0.2">
      <c r="A115" s="36">
        <f>'Invest. IF'!A115</f>
        <v>114</v>
      </c>
      <c r="B115" s="21" t="e">
        <f>'Invest. IF'!#REF!</f>
        <v>#REF!</v>
      </c>
      <c r="C115" s="32" t="str">
        <f>'Invest. IF'!B115</f>
        <v>Curicó</v>
      </c>
      <c r="D115" s="7">
        <f>'Invest. IF'!C115</f>
        <v>444</v>
      </c>
      <c r="E115" s="32" t="str">
        <f>'Invest. IF'!D115</f>
        <v>Plaza Rauquén</v>
      </c>
      <c r="F115" s="32" t="str">
        <f>'Invest. IF'!E115</f>
        <v>4.8.2</v>
      </c>
      <c r="G115" s="32" t="str">
        <f>'Invest. IF'!F115</f>
        <v>Quema de basura residencial o desechos vegetales</v>
      </c>
      <c r="H115" s="32" t="str">
        <f>'Invest. IF'!G115</f>
        <v>4.8</v>
      </c>
      <c r="I115" s="32" t="str">
        <f>'Invest. IF'!H115</f>
        <v>Otras quemas</v>
      </c>
      <c r="J115" s="32" t="str">
        <f>'Invest. IF'!I115</f>
        <v>Negligentes</v>
      </c>
      <c r="K115" s="32" t="str">
        <f>'Invest. IF'!M115</f>
        <v>Febrero</v>
      </c>
      <c r="L115" s="32" t="str">
        <f>'Invest. IF'!N115</f>
        <v>ITA_N-114_R20-PLAZA RAUQUEN_NR-444</v>
      </c>
      <c r="M115" s="32" t="str">
        <f>'Invest. IF'!O115</f>
        <v>Curicó</v>
      </c>
      <c r="N115" s="32">
        <f>'Invest. IF'!J115</f>
        <v>297836</v>
      </c>
      <c r="O115" s="32">
        <f>'Invest. IF'!K115</f>
        <v>6127925</v>
      </c>
    </row>
    <row r="116" spans="1:15" x14ac:dyDescent="0.2">
      <c r="A116" s="36">
        <f>'Invest. IF'!A116</f>
        <v>115</v>
      </c>
      <c r="B116" s="21" t="e">
        <f>'Invest. IF'!#REF!</f>
        <v>#REF!</v>
      </c>
      <c r="C116" s="32" t="str">
        <f>'Invest. IF'!B116</f>
        <v>Curicó</v>
      </c>
      <c r="D116" s="7">
        <f>'Invest. IF'!C116</f>
        <v>131</v>
      </c>
      <c r="E116" s="32" t="str">
        <f>'Invest. IF'!D116</f>
        <v>Santa Inés</v>
      </c>
      <c r="F116" s="32" t="str">
        <f>'Invest. IF'!E116</f>
        <v>4.8.2</v>
      </c>
      <c r="G116" s="32" t="str">
        <f>'Invest. IF'!F116</f>
        <v>Quema de basura residencial o desechos vegetales</v>
      </c>
      <c r="H116" s="32" t="str">
        <f>'Invest. IF'!G116</f>
        <v>4.8</v>
      </c>
      <c r="I116" s="32" t="str">
        <f>'Invest. IF'!H116</f>
        <v>Otras quemas</v>
      </c>
      <c r="J116" s="32" t="str">
        <f>'Invest. IF'!I116</f>
        <v>Negligentes</v>
      </c>
      <c r="K116" s="32" t="str">
        <f>'Invest. IF'!M116</f>
        <v>Febrero</v>
      </c>
      <c r="L116" s="32" t="str">
        <f>'Invest. IF'!N116</f>
        <v>ITA_N-115_R20-SANTA INES_NR-131</v>
      </c>
      <c r="M116" s="32" t="str">
        <f>'Invest. IF'!O116</f>
        <v>Curicó</v>
      </c>
      <c r="N116" s="32">
        <f>'Invest. IF'!J116</f>
        <v>296509</v>
      </c>
      <c r="O116" s="32">
        <f>'Invest. IF'!K116</f>
        <v>6129027</v>
      </c>
    </row>
    <row r="117" spans="1:15" x14ac:dyDescent="0.2">
      <c r="A117" s="36">
        <f>'Invest. IF'!A117</f>
        <v>116</v>
      </c>
      <c r="B117" s="21" t="e">
        <f>'Invest. IF'!#REF!</f>
        <v>#REF!</v>
      </c>
      <c r="C117" s="32" t="str">
        <f>'Invest. IF'!B117</f>
        <v>Cauquenes</v>
      </c>
      <c r="D117" s="7">
        <f>'Invest. IF'!C117</f>
        <v>404</v>
      </c>
      <c r="E117" s="32" t="str">
        <f>'Invest. IF'!D117</f>
        <v>La Aldea</v>
      </c>
      <c r="F117" s="32" t="str">
        <f>'Invest. IF'!E117</f>
        <v>2.1.5</v>
      </c>
      <c r="G117" s="32" t="str">
        <f>'Invest. IF'!F117</f>
        <v>Obtención beneficios económicos (compra de madera, presión por trabajo, robo  maderero, otros)</v>
      </c>
      <c r="H117" s="32" t="str">
        <f>'Invest. IF'!G117</f>
        <v>2.1</v>
      </c>
      <c r="I117" s="32" t="str">
        <f>'Invest. IF'!H117</f>
        <v>Incendios intencionales</v>
      </c>
      <c r="J117" s="32" t="str">
        <f>'Invest. IF'!I117</f>
        <v>Intencionales</v>
      </c>
      <c r="K117" s="32" t="str">
        <f>'Invest. IF'!M117</f>
        <v>Febrero</v>
      </c>
      <c r="L117" s="32" t="str">
        <f>'Invest. IF'!N117</f>
        <v>ITA_N-116_R20-LA ALDEA_NR-404</v>
      </c>
      <c r="M117" s="32" t="str">
        <f>'Invest. IF'!O117</f>
        <v>Cauquenes</v>
      </c>
      <c r="N117" s="32">
        <f>'Invest. IF'!J117</f>
        <v>736699</v>
      </c>
      <c r="O117" s="32">
        <f>'Invest. IF'!K117</f>
        <v>6022762</v>
      </c>
    </row>
    <row r="118" spans="1:15" x14ac:dyDescent="0.2">
      <c r="A118" s="36">
        <f>'Invest. IF'!A118</f>
        <v>117</v>
      </c>
      <c r="B118" s="21" t="e">
        <f>'Invest. IF'!#REF!</f>
        <v>#REF!</v>
      </c>
      <c r="C118" s="32" t="str">
        <f>'Invest. IF'!B118</f>
        <v>Cauquenes</v>
      </c>
      <c r="D118" s="7">
        <f>'Invest. IF'!C118</f>
        <v>414</v>
      </c>
      <c r="E118" s="32" t="str">
        <f>'Invest. IF'!D118</f>
        <v>Tabolguen 2</v>
      </c>
      <c r="F118" s="32" t="str">
        <f>'Invest. IF'!E118</f>
        <v>2.1.5</v>
      </c>
      <c r="G118" s="32" t="str">
        <f>'Invest. IF'!F118</f>
        <v>Obtención beneficios económicos (compra de madera, presión por trabajo, robo  maderero, otros)</v>
      </c>
      <c r="H118" s="32" t="str">
        <f>'Invest. IF'!G118</f>
        <v>2.1</v>
      </c>
      <c r="I118" s="32" t="str">
        <f>'Invest. IF'!H118</f>
        <v>Incendios intencionales</v>
      </c>
      <c r="J118" s="32" t="str">
        <f>'Invest. IF'!I118</f>
        <v>Intencionales</v>
      </c>
      <c r="K118" s="32" t="str">
        <f>'Invest. IF'!M118</f>
        <v>Febrero</v>
      </c>
      <c r="L118" s="32" t="str">
        <f>'Invest. IF'!N118</f>
        <v>ITA_N-117_R20-TABOLGUEN 2_NR-414</v>
      </c>
      <c r="M118" s="32" t="str">
        <f>'Invest. IF'!O118</f>
        <v>Cauquenes</v>
      </c>
      <c r="N118" s="32">
        <f>'Invest. IF'!J118</f>
        <v>736637</v>
      </c>
      <c r="O118" s="32">
        <f>'Invest. IF'!K118</f>
        <v>6022791</v>
      </c>
    </row>
    <row r="119" spans="1:15" x14ac:dyDescent="0.2">
      <c r="A119" s="36">
        <f>'Invest. IF'!A119</f>
        <v>118</v>
      </c>
      <c r="B119" s="21" t="e">
        <f>'Invest. IF'!#REF!</f>
        <v>#REF!</v>
      </c>
      <c r="C119" s="32" t="str">
        <f>'Invest. IF'!B119</f>
        <v>Cauquenes</v>
      </c>
      <c r="D119" s="7">
        <f>'Invest. IF'!C119</f>
        <v>415</v>
      </c>
      <c r="E119" s="32" t="str">
        <f>'Invest. IF'!D119</f>
        <v>Tabolguen 3</v>
      </c>
      <c r="F119" s="32" t="str">
        <f>'Invest. IF'!E119</f>
        <v>2.1.5</v>
      </c>
      <c r="G119" s="32" t="str">
        <f>'Invest. IF'!F119</f>
        <v>Obtención beneficios económicos (compra de madera, presión por trabajo, robo  maderero, otros)</v>
      </c>
      <c r="H119" s="32" t="str">
        <f>'Invest. IF'!G119</f>
        <v>2.1</v>
      </c>
      <c r="I119" s="32" t="str">
        <f>'Invest. IF'!H119</f>
        <v>Incendios intencionales</v>
      </c>
      <c r="J119" s="32" t="str">
        <f>'Invest. IF'!I119</f>
        <v>Intencionales</v>
      </c>
      <c r="K119" s="32" t="str">
        <f>'Invest. IF'!M119</f>
        <v>Febrero</v>
      </c>
      <c r="L119" s="32" t="str">
        <f>'Invest. IF'!N119</f>
        <v>ITA_N-118_R20-TABOLGUEN 3_NR-415</v>
      </c>
      <c r="M119" s="32" t="str">
        <f>'Invest. IF'!O119</f>
        <v>Cauquenes</v>
      </c>
      <c r="N119" s="32">
        <f>'Invest. IF'!J119</f>
        <v>736693</v>
      </c>
      <c r="O119" s="32">
        <f>'Invest. IF'!K119</f>
        <v>6022763</v>
      </c>
    </row>
    <row r="120" spans="1:15" x14ac:dyDescent="0.2">
      <c r="A120" s="36">
        <f>'Invest. IF'!A120</f>
        <v>119</v>
      </c>
      <c r="B120" s="21" t="e">
        <f>'Invest. IF'!#REF!</f>
        <v>#REF!</v>
      </c>
      <c r="C120" s="32" t="str">
        <f>'Invest. IF'!B120</f>
        <v>Cauquenes</v>
      </c>
      <c r="D120" s="7">
        <f>'Invest. IF'!C120</f>
        <v>417</v>
      </c>
      <c r="E120" s="32" t="str">
        <f>'Invest. IF'!D120</f>
        <v>Tabolguen 4</v>
      </c>
      <c r="F120" s="32" t="str">
        <f>'Invest. IF'!E120</f>
        <v>2.1.5</v>
      </c>
      <c r="G120" s="32" t="str">
        <f>'Invest. IF'!F120</f>
        <v>Obtención beneficios económicos (compra de madera, presión por trabajo, robo  maderero, otros)</v>
      </c>
      <c r="H120" s="32" t="str">
        <f>'Invest. IF'!G120</f>
        <v>2.1</v>
      </c>
      <c r="I120" s="32" t="str">
        <f>'Invest. IF'!H120</f>
        <v>Incendios intencionales</v>
      </c>
      <c r="J120" s="32" t="str">
        <f>'Invest. IF'!I120</f>
        <v>Intencionales</v>
      </c>
      <c r="K120" s="32" t="str">
        <f>'Invest. IF'!M120</f>
        <v>Febrero</v>
      </c>
      <c r="L120" s="32" t="str">
        <f>'Invest. IF'!N120</f>
        <v>ITA_N-119_R20-TABOLGUEN 4_NR-417</v>
      </c>
      <c r="M120" s="32" t="str">
        <f>'Invest. IF'!O120</f>
        <v>Cauquenes</v>
      </c>
      <c r="N120" s="32">
        <f>'Invest. IF'!J120</f>
        <v>736478</v>
      </c>
      <c r="O120" s="32">
        <f>'Invest. IF'!K120</f>
        <v>6022726</v>
      </c>
    </row>
    <row r="121" spans="1:15" x14ac:dyDescent="0.2">
      <c r="A121" s="36">
        <f>'Invest. IF'!A121</f>
        <v>120</v>
      </c>
      <c r="B121" s="21" t="e">
        <f>'Invest. IF'!#REF!</f>
        <v>#REF!</v>
      </c>
      <c r="C121" s="32" t="str">
        <f>'Invest. IF'!B121</f>
        <v>Maule</v>
      </c>
      <c r="D121" s="7">
        <f>'Invest. IF'!C121</f>
        <v>471</v>
      </c>
      <c r="E121" s="32" t="str">
        <f>'Invest. IF'!D121</f>
        <v>Linares de Perales 3</v>
      </c>
      <c r="F121" s="32" t="str">
        <f>'Invest. IF'!E121</f>
        <v>4.6.1</v>
      </c>
      <c r="G121" s="32" t="str">
        <f>'Invest. IF'!F121</f>
        <v>Generado por el uso de equipos o herramientas con fines de construcción, limpieza o montaje de estructuras</v>
      </c>
      <c r="H121" s="32" t="str">
        <f>'Invest. IF'!G121</f>
        <v>4.6</v>
      </c>
      <c r="I121" s="32" t="str">
        <f>'Invest. IF'!H121</f>
        <v>Parcelaciones, edificaciones residenciales, industriales u otras en zonas rurales o de interfaz</v>
      </c>
      <c r="J121" s="32" t="str">
        <f>'Invest. IF'!I121</f>
        <v>Negligentes</v>
      </c>
      <c r="K121" s="32" t="str">
        <f>'Invest. IF'!M121</f>
        <v>Febrero</v>
      </c>
      <c r="L121" s="32" t="str">
        <f>'Invest. IF'!N121</f>
        <v>ITA_N-120_R20-LINARES DE PERALES 3_NR-471</v>
      </c>
      <c r="M121" s="32" t="str">
        <f>'Invest. IF'!O121</f>
        <v>Talca</v>
      </c>
      <c r="N121" s="32">
        <f>'Invest. IF'!J121</f>
        <v>242879</v>
      </c>
      <c r="O121" s="32">
        <f>'Invest. IF'!K121</f>
        <v>6071369</v>
      </c>
    </row>
    <row r="122" spans="1:15" x14ac:dyDescent="0.2">
      <c r="A122" s="36">
        <f>'Invest. IF'!A122</f>
        <v>121</v>
      </c>
      <c r="B122" s="21" t="e">
        <f>'Invest. IF'!#REF!</f>
        <v>#REF!</v>
      </c>
      <c r="C122" s="32" t="str">
        <f>'Invest. IF'!B122</f>
        <v>San Javier</v>
      </c>
      <c r="D122" s="7">
        <f>'Invest. IF'!C122</f>
        <v>465</v>
      </c>
      <c r="E122" s="32" t="str">
        <f>'Invest. IF'!D122</f>
        <v>El Boldo</v>
      </c>
      <c r="F122" s="32" t="str">
        <f>'Invest. IF'!E122</f>
        <v>4.6.2</v>
      </c>
      <c r="G122" s="32" t="str">
        <f>'Invest. IF'!F122</f>
        <v>Generado por conexión  irregular de energía eléctrica</v>
      </c>
      <c r="H122" s="32" t="str">
        <f>'Invest. IF'!G122</f>
        <v>4.6</v>
      </c>
      <c r="I122" s="32" t="str">
        <f>'Invest. IF'!H122</f>
        <v>Parcelaciones, edificaciones residenciales, industriales u otras en zonas rurales o de interfaz</v>
      </c>
      <c r="J122" s="32" t="str">
        <f>'Invest. IF'!I122</f>
        <v>Negligentes</v>
      </c>
      <c r="K122" s="32" t="str">
        <f>'Invest. IF'!M122</f>
        <v>Febrero</v>
      </c>
      <c r="L122" s="32" t="str">
        <f>'Invest. IF'!N122</f>
        <v>ITA_N-121_R20-EL BOLDO_NR-465</v>
      </c>
      <c r="M122" s="32" t="str">
        <f>'Invest. IF'!O122</f>
        <v>Linares</v>
      </c>
      <c r="N122" s="32">
        <f>'Invest. IF'!J122</f>
        <v>768514</v>
      </c>
      <c r="O122" s="32">
        <f>'Invest. IF'!K122</f>
        <v>6057911</v>
      </c>
    </row>
    <row r="123" spans="1:15" x14ac:dyDescent="0.2">
      <c r="A123" s="36">
        <f>'Invest. IF'!A123</f>
        <v>122</v>
      </c>
      <c r="B123" s="21" t="e">
        <f>'Invest. IF'!#REF!</f>
        <v>#REF!</v>
      </c>
      <c r="C123" s="32" t="str">
        <f>'Invest. IF'!B123</f>
        <v>Maule</v>
      </c>
      <c r="D123" s="7">
        <f>'Invest. IF'!C123</f>
        <v>485</v>
      </c>
      <c r="E123" s="32" t="str">
        <f>'Invest. IF'!D123</f>
        <v>Numpay</v>
      </c>
      <c r="F123" s="32" t="str">
        <f>'Invest. IF'!E123</f>
        <v>4.10.12</v>
      </c>
      <c r="G123" s="32" t="str">
        <f>'Invest. IF'!F123</f>
        <v>Otras actividades negligentes no clasificadas</v>
      </c>
      <c r="H123" s="32" t="str">
        <f>'Invest. IF'!G123</f>
        <v>4.10</v>
      </c>
      <c r="I123" s="32" t="str">
        <f>'Invest. IF'!H123</f>
        <v>Otras causas</v>
      </c>
      <c r="J123" s="32" t="str">
        <f>'Invest. IF'!I123</f>
        <v>Negligentes</v>
      </c>
      <c r="K123" s="32" t="str">
        <f>'Invest. IF'!M123</f>
        <v>Febrero</v>
      </c>
      <c r="L123" s="32" t="str">
        <f>'Invest. IF'!N123</f>
        <v>ITA_N-122_R20-NUMPAY_NR-485</v>
      </c>
      <c r="M123" s="32" t="str">
        <f>'Invest. IF'!O123</f>
        <v>Talca</v>
      </c>
      <c r="N123" s="32">
        <f>'Invest. IF'!J123</f>
        <v>253773</v>
      </c>
      <c r="O123" s="32">
        <f>'Invest. IF'!K123</f>
        <v>6068057</v>
      </c>
    </row>
    <row r="124" spans="1:15" x14ac:dyDescent="0.2">
      <c r="A124" s="36">
        <f>'Invest. IF'!A124</f>
        <v>123</v>
      </c>
      <c r="B124" s="21" t="e">
        <f>'Invest. IF'!#REF!</f>
        <v>#REF!</v>
      </c>
      <c r="C124" s="32" t="str">
        <f>'Invest. IF'!B124</f>
        <v>Maule</v>
      </c>
      <c r="D124" s="7">
        <f>'Invest. IF'!C124</f>
        <v>470</v>
      </c>
      <c r="E124" s="32" t="str">
        <f>'Invest. IF'!D124</f>
        <v>Las Brisas</v>
      </c>
      <c r="F124" s="32" t="str">
        <f>'Invest. IF'!E124</f>
        <v>4.6.5</v>
      </c>
      <c r="G124" s="32" t="str">
        <f>'Invest. IF'!F124</f>
        <v>Empleo de fuentes de calor en actividades relacionadas a parcelaciones (asados, tijerales, fogatas, otros)</v>
      </c>
      <c r="H124" s="32" t="str">
        <f>'Invest. IF'!G124</f>
        <v>4.6</v>
      </c>
      <c r="I124" s="32" t="str">
        <f>'Invest. IF'!H124</f>
        <v>Parcelaciones, edificaciones residenciales, industriales u otras en zonas rurales o de interfaz</v>
      </c>
      <c r="J124" s="32" t="str">
        <f>'Invest. IF'!I124</f>
        <v>Negligentes</v>
      </c>
      <c r="K124" s="32" t="str">
        <f>'Invest. IF'!M124</f>
        <v>Febrero</v>
      </c>
      <c r="L124" s="32" t="str">
        <f>'Invest. IF'!N124</f>
        <v>ITA_N-123_R20-LAS BRISAS_NR-470</v>
      </c>
      <c r="M124" s="32" t="str">
        <f>'Invest. IF'!O124</f>
        <v>Talca</v>
      </c>
      <c r="N124" s="32">
        <f>'Invest. IF'!J124</f>
        <v>256952</v>
      </c>
      <c r="O124" s="32">
        <f>'Invest. IF'!K124</f>
        <v>6066306</v>
      </c>
    </row>
    <row r="125" spans="1:15" x14ac:dyDescent="0.2">
      <c r="A125" s="36">
        <f>'Invest. IF'!A125</f>
        <v>124</v>
      </c>
      <c r="B125" s="21" t="e">
        <f>'Invest. IF'!#REF!</f>
        <v>#REF!</v>
      </c>
      <c r="C125" s="32" t="str">
        <f>'Invest. IF'!B125</f>
        <v>San Rafael</v>
      </c>
      <c r="D125" s="7">
        <f>'Invest. IF'!C125</f>
        <v>467</v>
      </c>
      <c r="E125" s="32" t="str">
        <f>'Invest. IF'!D125</f>
        <v>Los Maquis 2</v>
      </c>
      <c r="F125" s="32" t="str">
        <f>'Invest. IF'!E125</f>
        <v>4.10.4</v>
      </c>
      <c r="G125" s="32" t="str">
        <f>'Invest. IF'!F125</f>
        <v>Acciones asociadas a fumar</v>
      </c>
      <c r="H125" s="32" t="str">
        <f>'Invest. IF'!G125</f>
        <v>4.10</v>
      </c>
      <c r="I125" s="32" t="str">
        <f>'Invest. IF'!H125</f>
        <v>Otras causas</v>
      </c>
      <c r="J125" s="32" t="str">
        <f>'Invest. IF'!I125</f>
        <v>Negligentes</v>
      </c>
      <c r="K125" s="32" t="str">
        <f>'Invest. IF'!M125</f>
        <v>Febrero</v>
      </c>
      <c r="L125" s="32" t="str">
        <f>'Invest. IF'!N125</f>
        <v>ITA_N-124_R20-LOS MAQUIS 2_NR-467</v>
      </c>
      <c r="M125" s="32" t="str">
        <f>'Invest. IF'!O125</f>
        <v>Talca</v>
      </c>
      <c r="N125" s="32">
        <f>'Invest. IF'!J125</f>
        <v>277791</v>
      </c>
      <c r="O125" s="32">
        <f>'Invest. IF'!K125</f>
        <v>6098585</v>
      </c>
    </row>
    <row r="126" spans="1:15" x14ac:dyDescent="0.2">
      <c r="A126" s="36">
        <f>'Invest. IF'!A126</f>
        <v>125</v>
      </c>
      <c r="B126" s="21" t="e">
        <f>'Invest. IF'!#REF!</f>
        <v>#REF!</v>
      </c>
      <c r="C126" s="32" t="str">
        <f>'Invest. IF'!B126</f>
        <v>Río Claro</v>
      </c>
      <c r="D126" s="7">
        <f>'Invest. IF'!C126</f>
        <v>254</v>
      </c>
      <c r="E126" s="32" t="str">
        <f>'Invest. IF'!D126</f>
        <v>El Monte</v>
      </c>
      <c r="F126" s="32" t="str">
        <f>'Invest. IF'!E126</f>
        <v>4.8.2</v>
      </c>
      <c r="G126" s="32" t="str">
        <f>'Invest. IF'!F126</f>
        <v>Quema de basura residencial o desechos vegetales</v>
      </c>
      <c r="H126" s="32" t="str">
        <f>'Invest. IF'!G126</f>
        <v>4.8</v>
      </c>
      <c r="I126" s="32" t="str">
        <f>'Invest. IF'!H126</f>
        <v>Otras quemas</v>
      </c>
      <c r="J126" s="32" t="str">
        <f>'Invest. IF'!I126</f>
        <v>Negligentes</v>
      </c>
      <c r="K126" s="32" t="str">
        <f>'Invest. IF'!M126</f>
        <v>Febrero</v>
      </c>
      <c r="L126" s="32" t="str">
        <f>'Invest. IF'!N126</f>
        <v>ITA_N-125_R20-EL MONTE_NR-254</v>
      </c>
      <c r="M126" s="32" t="str">
        <f>'Invest. IF'!O126</f>
        <v>Talca</v>
      </c>
      <c r="N126" s="32">
        <f>'Invest. IF'!J126</f>
        <v>278670</v>
      </c>
      <c r="O126" s="32">
        <f>'Invest. IF'!K126</f>
        <v>6099394</v>
      </c>
    </row>
    <row r="127" spans="1:15" x14ac:dyDescent="0.2">
      <c r="A127" s="36">
        <f>'Invest. IF'!A127</f>
        <v>126</v>
      </c>
      <c r="B127" s="21" t="e">
        <f>'Invest. IF'!#REF!</f>
        <v>#REF!</v>
      </c>
      <c r="C127" s="32" t="str">
        <f>'Invest. IF'!B127</f>
        <v>San Rafael</v>
      </c>
      <c r="D127" s="7">
        <f>'Invest. IF'!C127</f>
        <v>498</v>
      </c>
      <c r="E127" s="32" t="str">
        <f>'Invest. IF'!D127</f>
        <v>Los Maquis 3</v>
      </c>
      <c r="F127" s="32" t="str">
        <f>'Invest. IF'!E127</f>
        <v>1.7.1</v>
      </c>
      <c r="G127" s="32" t="str">
        <f>'Invest. IF'!F127</f>
        <v>Accidente o incendio de vehículo</v>
      </c>
      <c r="H127" s="32" t="str">
        <f>'Invest. IF'!G127</f>
        <v>1.7</v>
      </c>
      <c r="I127" s="32" t="str">
        <f>'Invest. IF'!H127</f>
        <v>Originados por desplazamiento de personas, vehículos o aeronaves</v>
      </c>
      <c r="J127" s="32" t="str">
        <f>'Invest. IF'!I127</f>
        <v>Accidentales</v>
      </c>
      <c r="K127" s="32" t="str">
        <f>'Invest. IF'!M127</f>
        <v>Febrero</v>
      </c>
      <c r="L127" s="32" t="str">
        <f>'Invest. IF'!N127</f>
        <v>ITA_N-126_R20-LOS MAQUIS 3_NR-498</v>
      </c>
      <c r="M127" s="32" t="str">
        <f>'Invest. IF'!O127</f>
        <v>Talca</v>
      </c>
      <c r="N127" s="32">
        <f>'Invest. IF'!J127</f>
        <v>275107</v>
      </c>
      <c r="O127" s="32">
        <f>'Invest. IF'!K127</f>
        <v>6096244</v>
      </c>
    </row>
    <row r="128" spans="1:15" x14ac:dyDescent="0.2">
      <c r="A128" s="36">
        <f>'Invest. IF'!A128</f>
        <v>127</v>
      </c>
      <c r="B128" s="21" t="e">
        <f>'Invest. IF'!#REF!</f>
        <v>#REF!</v>
      </c>
      <c r="C128" s="32" t="str">
        <f>'Invest. IF'!B128</f>
        <v>Sagrada Familia</v>
      </c>
      <c r="D128" s="7">
        <f>'Invest. IF'!C128</f>
        <v>425</v>
      </c>
      <c r="E128" s="32" t="str">
        <f>'Invest. IF'!D128</f>
        <v>Los Quillayes</v>
      </c>
      <c r="F128" s="32" t="str">
        <f>'Invest. IF'!E128</f>
        <v>4.9.5</v>
      </c>
      <c r="G128" s="32" t="str">
        <f>'Invest. IF'!F128</f>
        <v>Otras causas eléctricas negligentes no  clasificadas</v>
      </c>
      <c r="H128" s="32" t="str">
        <f>'Invest. IF'!G128</f>
        <v>4.9</v>
      </c>
      <c r="I128" s="32" t="str">
        <f>'Invest. IF'!H128</f>
        <v>Líneas eléctricas</v>
      </c>
      <c r="J128" s="32" t="str">
        <f>'Invest. IF'!I128</f>
        <v>Negligentes</v>
      </c>
      <c r="K128" s="32" t="str">
        <f>'Invest. IF'!M128</f>
        <v>Febrero</v>
      </c>
      <c r="L128" s="32" t="str">
        <f>'Invest. IF'!N128</f>
        <v>ITA_N-127_R20-LOS QUILLAYES_NR-425</v>
      </c>
      <c r="M128" s="32" t="str">
        <f>'Invest. IF'!O128</f>
        <v>Curicó</v>
      </c>
      <c r="N128" s="32">
        <f>'Invest. IF'!J128</f>
        <v>274771</v>
      </c>
      <c r="O128" s="32">
        <f>'Invest. IF'!K128</f>
        <v>6114942</v>
      </c>
    </row>
    <row r="129" spans="1:15" x14ac:dyDescent="0.2">
      <c r="A129" s="36">
        <f>'Invest. IF'!A129</f>
        <v>128</v>
      </c>
      <c r="B129" s="21" t="e">
        <f>'Invest. IF'!#REF!</f>
        <v>#REF!</v>
      </c>
      <c r="C129" s="32" t="str">
        <f>'Invest. IF'!B129</f>
        <v>Sagrada Familia</v>
      </c>
      <c r="D129" s="7">
        <f>'Invest. IF'!C129</f>
        <v>334</v>
      </c>
      <c r="E129" s="32" t="str">
        <f>'Invest. IF'!D129</f>
        <v>Santa Ana</v>
      </c>
      <c r="F129" s="32" t="str">
        <f>'Invest. IF'!E129</f>
        <v>4.2.1</v>
      </c>
      <c r="G129" s="32" t="str">
        <f>'Invest. IF'!F129</f>
        <v>Quema no avisada de desechos agrícolas que se propaga libre y sin control</v>
      </c>
      <c r="H129" s="32" t="str">
        <f>'Invest. IF'!G129</f>
        <v>4.2</v>
      </c>
      <c r="I129" s="32" t="str">
        <f>'Invest. IF'!H129</f>
        <v>Faenas agrícolas y pecuarias</v>
      </c>
      <c r="J129" s="32" t="str">
        <f>'Invest. IF'!I129</f>
        <v>Negligentes</v>
      </c>
      <c r="K129" s="32" t="str">
        <f>'Invest. IF'!M129</f>
        <v>Febrero</v>
      </c>
      <c r="L129" s="32" t="str">
        <f>'Invest. IF'!N129</f>
        <v>ITA_N-128_R20-SANTA ANA_NR-334</v>
      </c>
      <c r="M129" s="32" t="str">
        <f>'Invest. IF'!O129</f>
        <v>Curicó</v>
      </c>
      <c r="N129" s="32">
        <f>'Invest. IF'!J129</f>
        <v>274940</v>
      </c>
      <c r="O129" s="32">
        <f>'Invest. IF'!K129</f>
        <v>6120363</v>
      </c>
    </row>
    <row r="130" spans="1:15" x14ac:dyDescent="0.2">
      <c r="A130" s="36">
        <f>'Invest. IF'!A130</f>
        <v>129</v>
      </c>
      <c r="B130" s="21" t="e">
        <f>'Invest. IF'!#REF!</f>
        <v>#REF!</v>
      </c>
      <c r="C130" s="32" t="str">
        <f>'Invest. IF'!B130</f>
        <v>Longaví</v>
      </c>
      <c r="D130" s="7">
        <f>'Invest. IF'!C130</f>
        <v>387</v>
      </c>
      <c r="E130" s="32" t="str">
        <f>'Invest. IF'!D130</f>
        <v>Miraflores</v>
      </c>
      <c r="F130" s="32" t="str">
        <f>'Invest. IF'!E130</f>
        <v>4.9.4</v>
      </c>
      <c r="G130" s="32" t="str">
        <f>'Invest. IF'!F130</f>
        <v>Sobrecalentamiento de estructuras asociados al sistema eléctrico (poste, transformador, uniones, aisladores, otros)</v>
      </c>
      <c r="H130" s="32" t="str">
        <f>'Invest. IF'!G130</f>
        <v>4.9</v>
      </c>
      <c r="I130" s="32" t="str">
        <f>'Invest. IF'!H130</f>
        <v>Líneas eléctricas</v>
      </c>
      <c r="J130" s="32" t="str">
        <f>'Invest. IF'!I130</f>
        <v>Negligentes</v>
      </c>
      <c r="K130" s="32" t="str">
        <f>'Invest. IF'!M130</f>
        <v>Febrero</v>
      </c>
      <c r="L130" s="32" t="str">
        <f>'Invest. IF'!N130</f>
        <v>ITA_N-129_R20-MIRAFLORES_NR-387</v>
      </c>
      <c r="M130" s="32" t="str">
        <f>'Invest. IF'!O130</f>
        <v>Linares</v>
      </c>
      <c r="N130" s="32">
        <f>'Invest. IF'!J130</f>
        <v>260414</v>
      </c>
      <c r="O130" s="32">
        <f>'Invest. IF'!K130</f>
        <v>6019453</v>
      </c>
    </row>
    <row r="131" spans="1:15" x14ac:dyDescent="0.2">
      <c r="A131" s="36">
        <f>'Invest. IF'!A131</f>
        <v>130</v>
      </c>
      <c r="B131" s="21" t="e">
        <f>'Invest. IF'!#REF!</f>
        <v>#REF!</v>
      </c>
      <c r="C131" s="32" t="str">
        <f>'Invest. IF'!B131</f>
        <v>Longaví</v>
      </c>
      <c r="D131" s="7">
        <f>'Invest. IF'!C131</f>
        <v>508</v>
      </c>
      <c r="E131" s="32" t="str">
        <f>'Invest. IF'!D131</f>
        <v>La Liebre</v>
      </c>
      <c r="F131" s="32" t="str">
        <f>'Invest. IF'!E131</f>
        <v>4.2.8</v>
      </c>
      <c r="G131" s="32" t="str">
        <f>'Invest. IF'!F131</f>
        <v>Otras causas negligentes no clasificadas en faenas agrícolas y pecuarias</v>
      </c>
      <c r="H131" s="32" t="str">
        <f>'Invest. IF'!G131</f>
        <v>4.2</v>
      </c>
      <c r="I131" s="32" t="str">
        <f>'Invest. IF'!H131</f>
        <v>Faenas agrícolas y pecuarias</v>
      </c>
      <c r="J131" s="32" t="str">
        <f>'Invest. IF'!I131</f>
        <v>Negligentes</v>
      </c>
      <c r="K131" s="32" t="str">
        <f>'Invest. IF'!M131</f>
        <v>Febrero</v>
      </c>
      <c r="L131" s="32" t="str">
        <f>'Invest. IF'!N131</f>
        <v>ITA_N-130_R20-LA LIEBRE_NR-508</v>
      </c>
      <c r="M131" s="32" t="str">
        <f>'Invest. IF'!O131</f>
        <v>Linares</v>
      </c>
      <c r="N131" s="32">
        <f>'Invest. IF'!J131</f>
        <v>266803</v>
      </c>
      <c r="O131" s="32">
        <f>'Invest. IF'!K131</f>
        <v>6005122</v>
      </c>
    </row>
    <row r="132" spans="1:15" x14ac:dyDescent="0.2">
      <c r="A132" s="36">
        <f>'Invest. IF'!A132</f>
        <v>131</v>
      </c>
      <c r="B132" s="21" t="e">
        <f>'Invest. IF'!#REF!</f>
        <v>#REF!</v>
      </c>
      <c r="C132" s="32" t="str">
        <f>'Invest. IF'!B132</f>
        <v>Vichuquén</v>
      </c>
      <c r="D132" s="7">
        <f>'Invest. IF'!C132</f>
        <v>521</v>
      </c>
      <c r="E132" s="32" t="str">
        <f>'Invest. IF'!D132</f>
        <v>Alto Llico</v>
      </c>
      <c r="F132" s="32" t="str">
        <f>'Invest. IF'!E132</f>
        <v>2.1.1</v>
      </c>
      <c r="G132" s="32" t="str">
        <f>'Invest. IF'!F132</f>
        <v>Provocado, no se identifica la motivación</v>
      </c>
      <c r="H132" s="32" t="str">
        <f>'Invest. IF'!G132</f>
        <v>2.1</v>
      </c>
      <c r="I132" s="32" t="str">
        <f>'Invest. IF'!H132</f>
        <v>Incendios intencionales</v>
      </c>
      <c r="J132" s="32" t="str">
        <f>'Invest. IF'!I132</f>
        <v>Intencionales</v>
      </c>
      <c r="K132" s="32" t="str">
        <f>'Invest. IF'!M132</f>
        <v>Febrero</v>
      </c>
      <c r="L132" s="32" t="str">
        <f>'Invest. IF'!N132</f>
        <v>ITA_N-131_R20-ALTO LLICO_NR-521</v>
      </c>
      <c r="M132" s="32" t="str">
        <f>'Invest. IF'!O132</f>
        <v>Curicó</v>
      </c>
      <c r="N132" s="32">
        <f>'Invest. IF'!J132</f>
        <v>765531</v>
      </c>
      <c r="O132" s="32">
        <f>'Invest. IF'!K132</f>
        <v>6143818</v>
      </c>
    </row>
    <row r="133" spans="1:15" x14ac:dyDescent="0.2">
      <c r="A133" s="36">
        <f>'Invest. IF'!A133</f>
        <v>132</v>
      </c>
      <c r="B133" s="21" t="e">
        <f>'Invest. IF'!#REF!</f>
        <v>#REF!</v>
      </c>
      <c r="C133" s="32" t="str">
        <f>'Invest. IF'!B133</f>
        <v>Cauquenes</v>
      </c>
      <c r="D133" s="7">
        <f>'Invest. IF'!C133</f>
        <v>518</v>
      </c>
      <c r="E133" s="32" t="str">
        <f>'Invest. IF'!D133</f>
        <v>Capellanía 2</v>
      </c>
      <c r="F133" s="32" t="str">
        <f>'Invest. IF'!E133</f>
        <v>4.6.1</v>
      </c>
      <c r="G133" s="32" t="str">
        <f>'Invest. IF'!F133</f>
        <v>Generado por el uso de equipos o herramientas con fines de construcción, limpieza o montaje de estructuras</v>
      </c>
      <c r="H133" s="32" t="str">
        <f>'Invest. IF'!G133</f>
        <v>4.6</v>
      </c>
      <c r="I133" s="32" t="str">
        <f>'Invest. IF'!H133</f>
        <v>Parcelaciones, edificaciones residenciales, industriales u otras en zonas rurales o de interfaz</v>
      </c>
      <c r="J133" s="32" t="str">
        <f>'Invest. IF'!I133</f>
        <v>Negligentes</v>
      </c>
      <c r="K133" s="32" t="str">
        <f>'Invest. IF'!M133</f>
        <v>Febrero</v>
      </c>
      <c r="L133" s="32" t="str">
        <f>'Invest. IF'!N133</f>
        <v>ITA_N-132_R20-CAPELLANIA 2_NR-518</v>
      </c>
      <c r="M133" s="32" t="str">
        <f>'Invest. IF'!O133</f>
        <v>Cauquenes</v>
      </c>
      <c r="N133" s="32">
        <f>'Invest. IF'!J133</f>
        <v>761189</v>
      </c>
      <c r="O133" s="32">
        <f>'Invest. IF'!K133</f>
        <v>6016365</v>
      </c>
    </row>
    <row r="134" spans="1:15" x14ac:dyDescent="0.2">
      <c r="A134" s="36">
        <f>'Invest. IF'!A134</f>
        <v>133</v>
      </c>
      <c r="B134" s="21" t="e">
        <f>'Invest. IF'!#REF!</f>
        <v>#REF!</v>
      </c>
      <c r="C134" s="32" t="str">
        <f>'Invest. IF'!B134</f>
        <v>Teno</v>
      </c>
      <c r="D134" s="7">
        <f>'Invest. IF'!C134</f>
        <v>529</v>
      </c>
      <c r="E134" s="32" t="str">
        <f>'Invest. IF'!D134</f>
        <v>Cuesta El Peral</v>
      </c>
      <c r="F134" s="32" t="str">
        <f>'Invest. IF'!E134</f>
        <v>4.6.5</v>
      </c>
      <c r="G134" s="32" t="str">
        <f>'Invest. IF'!F134</f>
        <v>Empleo de fuentes de calor en actividades relacionadas a parcelaciones (asados, tijerales, fogatas, otros)</v>
      </c>
      <c r="H134" s="32" t="str">
        <f>'Invest. IF'!G134</f>
        <v>4.6</v>
      </c>
      <c r="I134" s="32" t="str">
        <f>'Invest. IF'!H134</f>
        <v>Parcelaciones, edificaciones residenciales, industriales u otras en zonas rurales o de interfaz</v>
      </c>
      <c r="J134" s="32" t="str">
        <f>'Invest. IF'!I134</f>
        <v>Negligentes</v>
      </c>
      <c r="K134" s="32" t="str">
        <f>'Invest. IF'!M134</f>
        <v>Febrero</v>
      </c>
      <c r="L134" s="32" t="str">
        <f>'Invest. IF'!N134</f>
        <v>ITA_N-133_R20-CUESTA EL PERAL_NR-529</v>
      </c>
      <c r="M134" s="32" t="str">
        <f>'Invest. IF'!O134</f>
        <v>Curicó</v>
      </c>
      <c r="N134" s="32">
        <f>'Invest. IF'!J134</f>
        <v>300802</v>
      </c>
      <c r="O134" s="32">
        <f>'Invest. IF'!K134</f>
        <v>6143348</v>
      </c>
    </row>
    <row r="135" spans="1:15" x14ac:dyDescent="0.2">
      <c r="A135" s="36">
        <f>'Invest. IF'!A135</f>
        <v>134</v>
      </c>
      <c r="B135" s="21" t="e">
        <f>'Invest. IF'!#REF!</f>
        <v>#REF!</v>
      </c>
      <c r="C135" s="32" t="str">
        <f>'Invest. IF'!B135</f>
        <v>Teno</v>
      </c>
      <c r="D135" s="7">
        <f>'Invest. IF'!C135</f>
        <v>440</v>
      </c>
      <c r="E135" s="32" t="str">
        <f>'Invest. IF'!D135</f>
        <v>La Aurora</v>
      </c>
      <c r="F135" s="32" t="str">
        <f>'Invest. IF'!E135</f>
        <v>1.2.2</v>
      </c>
      <c r="G135" s="32" t="str">
        <f>'Invest. IF'!F135</f>
        <v>Partículas incandescentes  generadas por roce de maquinaria o herramienta agrícola con rocas, cercos o material metálico</v>
      </c>
      <c r="H135" s="32" t="str">
        <f>'Invest. IF'!G135</f>
        <v>1.2</v>
      </c>
      <c r="I135" s="32" t="str">
        <f>'Invest. IF'!H135</f>
        <v>Faenas agrícolas y pecuarias</v>
      </c>
      <c r="J135" s="32" t="str">
        <f>'Invest. IF'!I135</f>
        <v>Accidentales</v>
      </c>
      <c r="K135" s="32" t="str">
        <f>'Invest. IF'!M135</f>
        <v>Febrero</v>
      </c>
      <c r="L135" s="32" t="str">
        <f>'Invest. IF'!N135</f>
        <v>ITA_N-134_R20-LA AURORA_NR-440</v>
      </c>
      <c r="M135" s="32" t="str">
        <f>'Invest. IF'!O135</f>
        <v>Curicó</v>
      </c>
      <c r="N135" s="32">
        <f>'Invest. IF'!J135</f>
        <v>303037</v>
      </c>
      <c r="O135" s="32">
        <f>'Invest. IF'!K135</f>
        <v>6142480</v>
      </c>
    </row>
    <row r="136" spans="1:15" x14ac:dyDescent="0.2">
      <c r="A136" s="36">
        <f>'Invest. IF'!A136</f>
        <v>135</v>
      </c>
      <c r="B136" s="21" t="e">
        <f>'Invest. IF'!#REF!</f>
        <v>#REF!</v>
      </c>
      <c r="C136" s="32" t="str">
        <f>'Invest. IF'!B136</f>
        <v>San Javier</v>
      </c>
      <c r="D136" s="7">
        <f>'Invest. IF'!C136</f>
        <v>322</v>
      </c>
      <c r="E136" s="32" t="str">
        <f>'Invest. IF'!D136</f>
        <v>Pozo de oro 3</v>
      </c>
      <c r="F136" s="32" t="str">
        <f>'Invest. IF'!E136</f>
        <v>2.1.1</v>
      </c>
      <c r="G136" s="32" t="str">
        <f>'Invest. IF'!F136</f>
        <v>Provocado, no se identifica la motivación</v>
      </c>
      <c r="H136" s="32" t="str">
        <f>'Invest. IF'!G136</f>
        <v>2.1</v>
      </c>
      <c r="I136" s="32" t="str">
        <f>'Invest. IF'!H136</f>
        <v>Incendios intencionales</v>
      </c>
      <c r="J136" s="32" t="str">
        <f>'Invest. IF'!I136</f>
        <v>Intencionales</v>
      </c>
      <c r="K136" s="32" t="str">
        <f>'Invest. IF'!M136</f>
        <v>Febrero</v>
      </c>
      <c r="L136" s="32" t="str">
        <f>'Invest. IF'!N136</f>
        <v>ITA_N-135_R20-POZO DE ORO 3_NR-322</v>
      </c>
      <c r="M136" s="32" t="str">
        <f>'Invest. IF'!O136</f>
        <v>Linares</v>
      </c>
      <c r="N136" s="32">
        <f>'Invest. IF'!J136</f>
        <v>247007</v>
      </c>
      <c r="O136" s="32">
        <f>'Invest. IF'!K136</f>
        <v>6044543</v>
      </c>
    </row>
    <row r="137" spans="1:15" x14ac:dyDescent="0.2">
      <c r="A137" s="36">
        <f>'Invest. IF'!A137</f>
        <v>136</v>
      </c>
      <c r="B137" s="21" t="e">
        <f>'Invest. IF'!#REF!</f>
        <v>#REF!</v>
      </c>
      <c r="C137" s="32" t="str">
        <f>'Invest. IF'!B137</f>
        <v>San Javier</v>
      </c>
      <c r="D137" s="7">
        <f>'Invest. IF'!C137</f>
        <v>293</v>
      </c>
      <c r="E137" s="32" t="str">
        <f>'Invest. IF'!D137</f>
        <v>Melozal 2</v>
      </c>
      <c r="F137" s="32" t="str">
        <f>'Invest. IF'!E137</f>
        <v>4.9.1</v>
      </c>
      <c r="G137" s="32" t="str">
        <f>'Invest. IF'!F137</f>
        <v>Combustión de la vegetación, producto del contacto o proximidad con el tendido eléctrico</v>
      </c>
      <c r="H137" s="32" t="str">
        <f>'Invest. IF'!G137</f>
        <v>4.9</v>
      </c>
      <c r="I137" s="32" t="str">
        <f>'Invest. IF'!H137</f>
        <v>Líneas eléctricas</v>
      </c>
      <c r="J137" s="32" t="str">
        <f>'Invest. IF'!I137</f>
        <v>Negligentes</v>
      </c>
      <c r="K137" s="32" t="str">
        <f>'Invest. IF'!M137</f>
        <v>Febrero</v>
      </c>
      <c r="L137" s="32" t="str">
        <f>'Invest. IF'!N137</f>
        <v>ITA_N-136_R20-MELOZAL 2_NR-293</v>
      </c>
      <c r="M137" s="32" t="str">
        <f>'Invest. IF'!O137</f>
        <v>Linares</v>
      </c>
      <c r="N137" s="32">
        <f>'Invest. IF'!J137</f>
        <v>244752</v>
      </c>
      <c r="O137" s="32">
        <f>'Invest. IF'!K137</f>
        <v>6042387</v>
      </c>
    </row>
    <row r="138" spans="1:15" x14ac:dyDescent="0.2">
      <c r="A138" s="36">
        <f>'Invest. IF'!A138</f>
        <v>137</v>
      </c>
      <c r="B138" s="21" t="e">
        <f>'Invest. IF'!#REF!</f>
        <v>#REF!</v>
      </c>
      <c r="C138" s="32" t="str">
        <f>'Invest. IF'!B138</f>
        <v>Río Claro</v>
      </c>
      <c r="D138" s="7">
        <f>'Invest. IF'!C138</f>
        <v>435</v>
      </c>
      <c r="E138" s="32" t="str">
        <f>'Invest. IF'!D138</f>
        <v>La Obra</v>
      </c>
      <c r="F138" s="32" t="str">
        <f>'Invest. IF'!E138</f>
        <v>4.9.2</v>
      </c>
      <c r="G138" s="32" t="str">
        <f>'Invest. IF'!F138</f>
        <v>Corte de conductor eléctrico por caída de rama o árbol (excepto por faena forestal o agrícola)</v>
      </c>
      <c r="H138" s="32" t="str">
        <f>'Invest. IF'!G138</f>
        <v>4.9</v>
      </c>
      <c r="I138" s="32" t="str">
        <f>'Invest. IF'!H138</f>
        <v>Líneas eléctricas</v>
      </c>
      <c r="J138" s="32" t="str">
        <f>'Invest. IF'!I138</f>
        <v>Negligentes</v>
      </c>
      <c r="K138" s="32" t="str">
        <f>'Invest. IF'!M138</f>
        <v>Febrero</v>
      </c>
      <c r="L138" s="32" t="str">
        <f>'Invest. IF'!N138</f>
        <v>ITA_N-137_R20-LA OBRA_NR-435</v>
      </c>
      <c r="M138" s="32" t="str">
        <f>'Invest. IF'!O138</f>
        <v>Talca</v>
      </c>
      <c r="N138" s="32">
        <f>'Invest. IF'!J138</f>
        <v>289453</v>
      </c>
      <c r="O138" s="32">
        <f>'Invest. IF'!K138</f>
        <v>6092711</v>
      </c>
    </row>
    <row r="139" spans="1:15" x14ac:dyDescent="0.2">
      <c r="A139" s="36">
        <f>'Invest. IF'!A139</f>
        <v>138</v>
      </c>
      <c r="B139" s="21" t="e">
        <f>'Invest. IF'!#REF!</f>
        <v>#REF!</v>
      </c>
      <c r="C139" s="32" t="str">
        <f>'Invest. IF'!B139</f>
        <v>San Rafael</v>
      </c>
      <c r="D139" s="7">
        <f>'Invest. IF'!C139</f>
        <v>542</v>
      </c>
      <c r="E139" s="32" t="str">
        <f>'Invest. IF'!D139</f>
        <v>Pangue arriba</v>
      </c>
      <c r="F139" s="32" t="str">
        <f>'Invest. IF'!E139</f>
        <v>4.6.1</v>
      </c>
      <c r="G139" s="32" t="str">
        <f>'Invest. IF'!F139</f>
        <v>Generado por el uso de equipos o herramientas con fines de construcción, limpieza o montaje de estructuras</v>
      </c>
      <c r="H139" s="32" t="str">
        <f>'Invest. IF'!G139</f>
        <v>4.6</v>
      </c>
      <c r="I139" s="32" t="str">
        <f>'Invest. IF'!H139</f>
        <v>Parcelaciones, edificaciones residenciales, industriales u otras en zonas rurales o de interfaz</v>
      </c>
      <c r="J139" s="32" t="str">
        <f>'Invest. IF'!I139</f>
        <v>Negligentes</v>
      </c>
      <c r="K139" s="32" t="str">
        <f>'Invest. IF'!M139</f>
        <v>Febrero</v>
      </c>
      <c r="L139" s="32" t="str">
        <f>'Invest. IF'!N139</f>
        <v>ITA_N-138_R20-PANGUE ARRIBA_NR-542</v>
      </c>
      <c r="M139" s="32" t="str">
        <f>'Invest. IF'!O139</f>
        <v>Talca</v>
      </c>
      <c r="N139" s="32">
        <f>'Invest. IF'!J139</f>
        <v>278087</v>
      </c>
      <c r="O139" s="32">
        <f>'Invest. IF'!K139</f>
        <v>6086172</v>
      </c>
    </row>
    <row r="140" spans="1:15" x14ac:dyDescent="0.2">
      <c r="A140" s="36">
        <f>'Invest. IF'!A140</f>
        <v>139</v>
      </c>
      <c r="B140" s="21" t="e">
        <f>'Invest. IF'!#REF!</f>
        <v>#REF!</v>
      </c>
      <c r="C140" s="32" t="str">
        <f>'Invest. IF'!B140</f>
        <v>Talca</v>
      </c>
      <c r="D140" s="7">
        <f>'Invest. IF'!C140</f>
        <v>537</v>
      </c>
      <c r="E140" s="32" t="str">
        <f>'Invest. IF'!D140</f>
        <v>Cerro la virgen</v>
      </c>
      <c r="F140" s="32" t="str">
        <f>'Invest. IF'!E140</f>
        <v>4.10.12</v>
      </c>
      <c r="G140" s="32" t="str">
        <f>'Invest. IF'!F140</f>
        <v>Otras actividades negligentes no clasificadas</v>
      </c>
      <c r="H140" s="32" t="str">
        <f>'Invest. IF'!G140</f>
        <v>4.10</v>
      </c>
      <c r="I140" s="32" t="str">
        <f>'Invest. IF'!H140</f>
        <v>Otras causas</v>
      </c>
      <c r="J140" s="32" t="str">
        <f>'Invest. IF'!I140</f>
        <v>Negligentes</v>
      </c>
      <c r="K140" s="32" t="str">
        <f>'Invest. IF'!M140</f>
        <v>Febrero</v>
      </c>
      <c r="L140" s="32" t="str">
        <f>'Invest. IF'!N140</f>
        <v>ITA_N-139_R20-CERRO DE LA VIRGEN_NR-537</v>
      </c>
      <c r="M140" s="32" t="str">
        <f>'Invest. IF'!O140</f>
        <v>Talca</v>
      </c>
      <c r="N140" s="32">
        <f>'Invest. IF'!J140</f>
        <v>256333</v>
      </c>
      <c r="O140" s="32">
        <f>'Invest. IF'!K140</f>
        <v>6077612</v>
      </c>
    </row>
    <row r="141" spans="1:15" x14ac:dyDescent="0.2">
      <c r="A141" s="36">
        <f>'Invest. IF'!A141</f>
        <v>140</v>
      </c>
      <c r="B141" s="21" t="e">
        <f>'Invest. IF'!#REF!</f>
        <v>#REF!</v>
      </c>
      <c r="C141" s="32" t="str">
        <f>'Invest. IF'!B141</f>
        <v>Talca</v>
      </c>
      <c r="D141" s="7">
        <f>'Invest. IF'!C141</f>
        <v>547</v>
      </c>
      <c r="E141" s="32" t="str">
        <f>'Invest. IF'!D141</f>
        <v>Cerro la virgen 2</v>
      </c>
      <c r="F141" s="32" t="str">
        <f>'Invest. IF'!E141</f>
        <v>2.1.1</v>
      </c>
      <c r="G141" s="32" t="str">
        <f>'Invest. IF'!F141</f>
        <v>Provocado, no se identifica la motivación</v>
      </c>
      <c r="H141" s="32" t="str">
        <f>'Invest. IF'!G141</f>
        <v>2.1</v>
      </c>
      <c r="I141" s="32" t="str">
        <f>'Invest. IF'!H141</f>
        <v>Incendios intencionales</v>
      </c>
      <c r="J141" s="32" t="str">
        <f>'Invest. IF'!I141</f>
        <v>Intencionales</v>
      </c>
      <c r="K141" s="32" t="str">
        <f>'Invest. IF'!M141</f>
        <v>Febrero</v>
      </c>
      <c r="L141" s="32" t="str">
        <f>'Invest. IF'!N141</f>
        <v>ITA_N-140_R20-CERRO DE LA VIRGEN 2_NR-547</v>
      </c>
      <c r="M141" s="32" t="str">
        <f>'Invest. IF'!O141</f>
        <v>Talca</v>
      </c>
      <c r="N141" s="32">
        <f>'Invest. IF'!J141</f>
        <v>256294</v>
      </c>
      <c r="O141" s="32">
        <f>'Invest. IF'!K141</f>
        <v>6077713</v>
      </c>
    </row>
    <row r="142" spans="1:15" x14ac:dyDescent="0.2">
      <c r="A142" s="36">
        <f>'Invest. IF'!A142</f>
        <v>141</v>
      </c>
      <c r="B142" s="21" t="e">
        <f>'Invest. IF'!#REF!</f>
        <v>#REF!</v>
      </c>
      <c r="C142" s="32" t="str">
        <f>'Invest. IF'!B142</f>
        <v>San Javier</v>
      </c>
      <c r="D142" s="7">
        <f>'Invest. IF'!C142</f>
        <v>481</v>
      </c>
      <c r="E142" s="32" t="str">
        <f>'Invest. IF'!D142</f>
        <v>Marimaura</v>
      </c>
      <c r="F142" s="32" t="str">
        <f>'Invest. IF'!E142</f>
        <v>4.6.1</v>
      </c>
      <c r="G142" s="32" t="str">
        <f>'Invest. IF'!F142</f>
        <v>Generado por el uso de equipos o herramientas con fines de construcción, limpieza o montaje de estructuras</v>
      </c>
      <c r="H142" s="32" t="str">
        <f>'Invest. IF'!G142</f>
        <v>4.6</v>
      </c>
      <c r="I142" s="32" t="str">
        <f>'Invest. IF'!H142</f>
        <v>Parcelaciones, edificaciones residenciales, industriales u otras en zonas rurales o de interfaz</v>
      </c>
      <c r="J142" s="32" t="str">
        <f>'Invest. IF'!I142</f>
        <v>Negligentes</v>
      </c>
      <c r="K142" s="32" t="str">
        <f>'Invest. IF'!M142</f>
        <v>Febrero</v>
      </c>
      <c r="L142" s="32" t="str">
        <f>'Invest. IF'!N142</f>
        <v>ITA_N-141_R20-MARIMAURA_NR-481</v>
      </c>
      <c r="M142" s="32" t="str">
        <f>'Invest. IF'!O142</f>
        <v>Linares</v>
      </c>
      <c r="N142" s="32">
        <f>'Invest. IF'!J142</f>
        <v>242694</v>
      </c>
      <c r="O142" s="32">
        <f>'Invest. IF'!K142</f>
        <v>6038613</v>
      </c>
    </row>
    <row r="143" spans="1:15" x14ac:dyDescent="0.2">
      <c r="A143" s="36">
        <f>'Invest. IF'!A143</f>
        <v>142</v>
      </c>
      <c r="B143" s="21" t="e">
        <f>'Invest. IF'!#REF!</f>
        <v>#REF!</v>
      </c>
      <c r="C143" s="32" t="str">
        <f>'Invest. IF'!B143</f>
        <v>Sagrada Familia</v>
      </c>
      <c r="D143" s="7">
        <f>'Invest. IF'!C143</f>
        <v>551</v>
      </c>
      <c r="E143" s="32" t="str">
        <f>'Invest. IF'!D143</f>
        <v>El Peral</v>
      </c>
      <c r="F143" s="32" t="str">
        <f>'Invest. IF'!E143</f>
        <v>4.10.4</v>
      </c>
      <c r="G143" s="32" t="str">
        <f>'Invest. IF'!F143</f>
        <v>Acciones asociadas a fumar</v>
      </c>
      <c r="H143" s="32" t="str">
        <f>'Invest. IF'!G143</f>
        <v>4.10</v>
      </c>
      <c r="I143" s="32" t="str">
        <f>'Invest. IF'!H143</f>
        <v>Otras causas</v>
      </c>
      <c r="J143" s="32" t="str">
        <f>'Invest. IF'!I143</f>
        <v>Negligentes</v>
      </c>
      <c r="K143" s="32" t="str">
        <f>'Invest. IF'!M143</f>
        <v>Febrero</v>
      </c>
      <c r="L143" s="32" t="str">
        <f>'Invest. IF'!N143</f>
        <v>ITA_N-142_R20-EL PERAL_NR-551</v>
      </c>
      <c r="M143" s="32" t="str">
        <f>'Invest. IF'!O143</f>
        <v>Curicó</v>
      </c>
      <c r="N143" s="32">
        <f>'Invest. IF'!J143</f>
        <v>267840</v>
      </c>
      <c r="O143" s="32">
        <f>'Invest. IF'!K143</f>
        <v>6103997</v>
      </c>
    </row>
    <row r="144" spans="1:15" x14ac:dyDescent="0.2">
      <c r="A144" s="36">
        <f>'Invest. IF'!A144</f>
        <v>143</v>
      </c>
      <c r="B144" s="21" t="e">
        <f>'Invest. IF'!#REF!</f>
        <v>#REF!</v>
      </c>
      <c r="C144" s="32" t="str">
        <f>'Invest. IF'!B144</f>
        <v>San Javier</v>
      </c>
      <c r="D144" s="7">
        <f>'Invest. IF'!C144</f>
        <v>552</v>
      </c>
      <c r="E144" s="32" t="str">
        <f>'Invest. IF'!D144</f>
        <v xml:space="preserve">Caliboro </v>
      </c>
      <c r="F144" s="32" t="str">
        <f>'Invest. IF'!E144</f>
        <v>4.11.1</v>
      </c>
      <c r="G144" s="32" t="str">
        <f>'Invest. IF'!F144</f>
        <v>Elaboración de carbón</v>
      </c>
      <c r="H144" s="32" t="str">
        <f>'Invest. IF'!G144</f>
        <v>4.11</v>
      </c>
      <c r="I144" s="32" t="str">
        <f>'Invest. IF'!H144</f>
        <v>Producción y/o extracción de productos y/o derivados del bosque</v>
      </c>
      <c r="J144" s="32" t="str">
        <f>'Invest. IF'!I144</f>
        <v>Negligentes</v>
      </c>
      <c r="K144" s="32" t="str">
        <f>'Invest. IF'!M144</f>
        <v>Febrero</v>
      </c>
      <c r="L144" s="32" t="str">
        <f>'Invest. IF'!N144</f>
        <v>ITA_N-143_R20-CALIBORO_NR-552</v>
      </c>
      <c r="M144" s="32" t="str">
        <f>'Invest. IF'!O144</f>
        <v>Linares</v>
      </c>
      <c r="N144" s="32">
        <f>'Invest. IF'!J144</f>
        <v>239562</v>
      </c>
      <c r="O144" s="32">
        <f>'Invest. IF'!K144</f>
        <v>6031989</v>
      </c>
    </row>
    <row r="145" spans="1:15" x14ac:dyDescent="0.2">
      <c r="A145" s="36">
        <f>'Invest. IF'!A145</f>
        <v>144</v>
      </c>
      <c r="B145" s="21" t="e">
        <f>'Invest. IF'!#REF!</f>
        <v>#REF!</v>
      </c>
      <c r="C145" s="32" t="str">
        <f>'Invest. IF'!B145</f>
        <v>San Javier</v>
      </c>
      <c r="D145" s="7">
        <f>'Invest. IF'!C145</f>
        <v>288</v>
      </c>
      <c r="E145" s="32" t="str">
        <f>'Invest. IF'!D145</f>
        <v>Llancagua_Los cajones</v>
      </c>
      <c r="F145" s="32" t="str">
        <f>'Invest. IF'!E145</f>
        <v>4.6.5</v>
      </c>
      <c r="G145" s="32" t="str">
        <f>'Invest. IF'!F145</f>
        <v>Empleo de fuentes de calor en actividades relacionadas a parcelaciones (asados, tijerales, fogatas, otros)</v>
      </c>
      <c r="H145" s="32" t="str">
        <f>'Invest. IF'!G145</f>
        <v>4.6</v>
      </c>
      <c r="I145" s="32" t="str">
        <f>'Invest. IF'!H145</f>
        <v>Parcelaciones, edificaciones residenciales, industriales u otras en zonas rurales o de interfaz</v>
      </c>
      <c r="J145" s="32" t="str">
        <f>'Invest. IF'!I145</f>
        <v>Negligentes</v>
      </c>
      <c r="K145" s="32" t="str">
        <f>'Invest. IF'!M145</f>
        <v>Febrero</v>
      </c>
      <c r="L145" s="32" t="str">
        <f>'Invest. IF'!N145</f>
        <v>ITA_N-144_R20-LLANCAGUA_LOS CAJONES_NR-288</v>
      </c>
      <c r="M145" s="32" t="str">
        <f>'Invest. IF'!O145</f>
        <v>Linares</v>
      </c>
      <c r="N145" s="32">
        <f>'Invest. IF'!J145</f>
        <v>236806</v>
      </c>
      <c r="O145" s="32">
        <f>'Invest. IF'!K145</f>
        <v>6043667</v>
      </c>
    </row>
    <row r="146" spans="1:15" x14ac:dyDescent="0.2">
      <c r="A146" s="36">
        <f>'Invest. IF'!A146</f>
        <v>145</v>
      </c>
      <c r="B146" s="21" t="e">
        <f>'Invest. IF'!#REF!</f>
        <v>#REF!</v>
      </c>
      <c r="C146" s="32" t="str">
        <f>'Invest. IF'!B146</f>
        <v>Cauquenes</v>
      </c>
      <c r="D146" s="7">
        <f>'Invest. IF'!C146</f>
        <v>540</v>
      </c>
      <c r="E146" s="32" t="str">
        <f>'Invest. IF'!D146</f>
        <v>Los despachos/ Pichun norte</v>
      </c>
      <c r="F146" s="32" t="str">
        <f>'Invest. IF'!E146</f>
        <v>4.6.1</v>
      </c>
      <c r="G146" s="32" t="str">
        <f>'Invest. IF'!F146</f>
        <v>Generado por el uso de equipos o herramientas con fines de construcción, limpieza o montaje de estructuras</v>
      </c>
      <c r="H146" s="32" t="str">
        <f>'Invest. IF'!G146</f>
        <v>4.6</v>
      </c>
      <c r="I146" s="32" t="str">
        <f>'Invest. IF'!H146</f>
        <v>Parcelaciones, edificaciones residenciales, industriales u otras en zonas rurales o de interfaz</v>
      </c>
      <c r="J146" s="32" t="str">
        <f>'Invest. IF'!I146</f>
        <v>Negligentes</v>
      </c>
      <c r="K146" s="32" t="str">
        <f>'Invest. IF'!M146</f>
        <v>Febrero</v>
      </c>
      <c r="L146" s="32" t="str">
        <f>'Invest. IF'!N146</f>
        <v>ITA_N-145_R20-LOS DESPACHOS/PICHUN NORTE_NR-540</v>
      </c>
      <c r="M146" s="32" t="str">
        <f>'Invest. IF'!O146</f>
        <v>Cauquenes</v>
      </c>
      <c r="N146" s="32">
        <f>'Invest. IF'!J146</f>
        <v>742445</v>
      </c>
      <c r="O146" s="32">
        <f>'Invest. IF'!K146</f>
        <v>6006703</v>
      </c>
    </row>
    <row r="147" spans="1:15" x14ac:dyDescent="0.2">
      <c r="A147" s="36">
        <f>'Invest. IF'!A147</f>
        <v>146</v>
      </c>
      <c r="B147" s="21" t="e">
        <f>'Invest. IF'!#REF!</f>
        <v>#REF!</v>
      </c>
      <c r="C147" s="32" t="str">
        <f>'Invest. IF'!B147</f>
        <v>Cauquenes</v>
      </c>
      <c r="D147" s="7">
        <f>'Invest. IF'!C147</f>
        <v>534</v>
      </c>
      <c r="E147" s="32" t="str">
        <f>'Invest. IF'!D147</f>
        <v>Tabolguen 10</v>
      </c>
      <c r="F147" s="32" t="str">
        <f>'Invest. IF'!E147</f>
        <v>2.1.5</v>
      </c>
      <c r="G147" s="32" t="str">
        <f>'Invest. IF'!F147</f>
        <v>Obtención beneficios económicos (compra de madera, presión por trabajo, robo  maderero, otros)</v>
      </c>
      <c r="H147" s="32" t="str">
        <f>'Invest. IF'!G147</f>
        <v>2.1</v>
      </c>
      <c r="I147" s="32" t="str">
        <f>'Invest. IF'!H147</f>
        <v>Incendios intencionales</v>
      </c>
      <c r="J147" s="32" t="str">
        <f>'Invest. IF'!I147</f>
        <v>Intencionales</v>
      </c>
      <c r="K147" s="32" t="str">
        <f>'Invest. IF'!M147</f>
        <v>Febrero</v>
      </c>
      <c r="L147" s="32" t="str">
        <f>'Invest. IF'!N147</f>
        <v>ITA_N-146_R20-TABOLGUEN 10_NR-534</v>
      </c>
      <c r="M147" s="32" t="str">
        <f>'Invest. IF'!O147</f>
        <v>Cauquenes</v>
      </c>
      <c r="N147" s="32">
        <f>'Invest. IF'!J147</f>
        <v>736529</v>
      </c>
      <c r="O147" s="32">
        <f>'Invest. IF'!K147</f>
        <v>6022717</v>
      </c>
    </row>
    <row r="148" spans="1:15" x14ac:dyDescent="0.2">
      <c r="A148" s="36">
        <f>'Invest. IF'!A148</f>
        <v>147</v>
      </c>
      <c r="B148" s="21" t="e">
        <f>'Invest. IF'!#REF!</f>
        <v>#REF!</v>
      </c>
      <c r="C148" s="32" t="str">
        <f>'Invest. IF'!B148</f>
        <v>Cauquenes</v>
      </c>
      <c r="D148" s="7">
        <f>'Invest. IF'!C148</f>
        <v>545</v>
      </c>
      <c r="E148" s="32" t="str">
        <f>'Invest. IF'!D148</f>
        <v>Tabolguen 11</v>
      </c>
      <c r="F148" s="32" t="str">
        <f>'Invest. IF'!E148</f>
        <v>2.1.5</v>
      </c>
      <c r="G148" s="32" t="str">
        <f>'Invest. IF'!F148</f>
        <v>Obtención beneficios económicos (compra de madera, presión por trabajo, robo  maderero, otros)</v>
      </c>
      <c r="H148" s="32" t="str">
        <f>'Invest. IF'!G148</f>
        <v>2.1</v>
      </c>
      <c r="I148" s="32" t="str">
        <f>'Invest. IF'!H148</f>
        <v>Incendios intencionales</v>
      </c>
      <c r="J148" s="32" t="str">
        <f>'Invest. IF'!I148</f>
        <v>Intencionales</v>
      </c>
      <c r="K148" s="32" t="str">
        <f>'Invest. IF'!M148</f>
        <v>Febrero</v>
      </c>
      <c r="L148" s="32" t="str">
        <f>'Invest. IF'!N148</f>
        <v>ITA_N-147_R20-TABOLGUEN 11_NR-545</v>
      </c>
      <c r="M148" s="32" t="str">
        <f>'Invest. IF'!O148</f>
        <v>Cauquenes</v>
      </c>
      <c r="N148" s="32">
        <f>'Invest. IF'!J148</f>
        <v>737922</v>
      </c>
      <c r="O148" s="32">
        <f>'Invest. IF'!K148</f>
        <v>6021799</v>
      </c>
    </row>
    <row r="149" spans="1:15" x14ac:dyDescent="0.2">
      <c r="A149" s="36">
        <f>'Invest. IF'!A149</f>
        <v>148</v>
      </c>
      <c r="B149" s="21" t="e">
        <f>'Invest. IF'!#REF!</f>
        <v>#REF!</v>
      </c>
      <c r="C149" s="32" t="str">
        <f>'Invest. IF'!B149</f>
        <v>Retiro</v>
      </c>
      <c r="D149" s="7">
        <f>'Invest. IF'!C149</f>
        <v>333</v>
      </c>
      <c r="E149" s="32" t="str">
        <f>'Invest. IF'!D149</f>
        <v>El Almendro</v>
      </c>
      <c r="F149" s="32" t="str">
        <f>'Invest. IF'!E149</f>
        <v>4.11.3</v>
      </c>
      <c r="G149" s="32" t="str">
        <f>'Invest. IF'!F149</f>
        <v>Empleo de fuentes de calor en faena de extracción y/o confección de leña no industrial</v>
      </c>
      <c r="H149" s="32" t="str">
        <f>'Invest. IF'!G149</f>
        <v>4.11</v>
      </c>
      <c r="I149" s="32" t="str">
        <f>'Invest. IF'!H149</f>
        <v>Producción y/o extracción de productos y/o derivados del bosque</v>
      </c>
      <c r="J149" s="32" t="str">
        <f>'Invest. IF'!I149</f>
        <v>Negligentes</v>
      </c>
      <c r="K149" s="32" t="str">
        <f>'Invest. IF'!M149</f>
        <v>Febrero</v>
      </c>
      <c r="L149" s="32" t="str">
        <f>'Invest. IF'!N149</f>
        <v>ITA_N-148_R20-EL ALMENDRO_NR-333</v>
      </c>
      <c r="M149" s="32" t="str">
        <f>'Invest. IF'!O149</f>
        <v>Linares</v>
      </c>
      <c r="N149" s="32">
        <f>'Invest. IF'!J149</f>
        <v>249178</v>
      </c>
      <c r="O149" s="32">
        <f>'Invest. IF'!K149</f>
        <v>6015708</v>
      </c>
    </row>
    <row r="150" spans="1:15" x14ac:dyDescent="0.2">
      <c r="A150" s="36">
        <f>'Invest. IF'!A150</f>
        <v>149</v>
      </c>
      <c r="B150" s="21" t="e">
        <f>'Invest. IF'!#REF!</f>
        <v>#REF!</v>
      </c>
      <c r="C150" s="32" t="str">
        <f>'Invest. IF'!B150</f>
        <v>Retiro</v>
      </c>
      <c r="D150" s="7">
        <f>'Invest. IF'!C150</f>
        <v>339</v>
      </c>
      <c r="E150" s="32" t="str">
        <f>'Invest. IF'!D150</f>
        <v>Piguchuén</v>
      </c>
      <c r="F150" s="32" t="str">
        <f>'Invest. IF'!E150</f>
        <v>4.5.1</v>
      </c>
      <c r="G150" s="32" t="str">
        <f>'Invest. IF'!F150</f>
        <v>Rebrote de incendio anterior, declarado extinto</v>
      </c>
      <c r="H150" s="32" t="str">
        <f>'Invest. IF'!G150</f>
        <v>4.5</v>
      </c>
      <c r="I150" s="32" t="str">
        <f>'Invest. IF'!H150</f>
        <v>Actividades de control y extinción de incendios forestales</v>
      </c>
      <c r="J150" s="32" t="str">
        <f>'Invest. IF'!I150</f>
        <v>Negligentes</v>
      </c>
      <c r="K150" s="32" t="str">
        <f>'Invest. IF'!M150</f>
        <v>Febrero</v>
      </c>
      <c r="L150" s="32" t="str">
        <f>'Invest. IF'!N150</f>
        <v>ITA_N-149_R20-PIGUCHEN_NR-339</v>
      </c>
      <c r="M150" s="32" t="str">
        <f>'Invest. IF'!O150</f>
        <v>Linares</v>
      </c>
      <c r="N150" s="32">
        <f>'Invest. IF'!J150</f>
        <v>249332</v>
      </c>
      <c r="O150" s="32">
        <f>'Invest. IF'!K150</f>
        <v>6015755</v>
      </c>
    </row>
    <row r="151" spans="1:15" x14ac:dyDescent="0.2">
      <c r="A151" s="36">
        <f>'Invest. IF'!A151</f>
        <v>150</v>
      </c>
      <c r="B151" s="21" t="e">
        <f>'Invest. IF'!#REF!</f>
        <v>#REF!</v>
      </c>
      <c r="C151" s="32" t="str">
        <f>'Invest. IF'!B151</f>
        <v>Curepto</v>
      </c>
      <c r="D151" s="7">
        <f>'Invest. IF'!C151</f>
        <v>561</v>
      </c>
      <c r="E151" s="32" t="str">
        <f>'Invest. IF'!D151</f>
        <v>El Ajial</v>
      </c>
      <c r="F151" s="32" t="str">
        <f>'Invest. IF'!E151</f>
        <v>2.1.1</v>
      </c>
      <c r="G151" s="32" t="str">
        <f>'Invest. IF'!F151</f>
        <v>Provocado, no se identifica la motivación</v>
      </c>
      <c r="H151" s="32" t="str">
        <f>'Invest. IF'!G151</f>
        <v>2.1</v>
      </c>
      <c r="I151" s="32" t="str">
        <f>'Invest. IF'!H151</f>
        <v>Incendios intencionales</v>
      </c>
      <c r="J151" s="32" t="str">
        <f>'Invest. IF'!I151</f>
        <v>Intencionales</v>
      </c>
      <c r="K151" s="32" t="str">
        <f>'Invest. IF'!M151</f>
        <v>Febrero</v>
      </c>
      <c r="L151" s="32" t="str">
        <f>'Invest. IF'!N151</f>
        <v>ITA_N-150_R20-EL AJIAL_NR-561</v>
      </c>
      <c r="M151" s="32" t="str">
        <f>'Invest. IF'!O151</f>
        <v>Talca</v>
      </c>
      <c r="N151" s="32">
        <f>'Invest. IF'!J151</f>
        <v>253370</v>
      </c>
      <c r="O151" s="32">
        <f>'Invest. IF'!K151</f>
        <v>6108330</v>
      </c>
    </row>
    <row r="152" spans="1:15" x14ac:dyDescent="0.2">
      <c r="A152" s="36">
        <f>'Invest. IF'!A152</f>
        <v>151</v>
      </c>
      <c r="B152" s="21" t="e">
        <f>'Invest. IF'!#REF!</f>
        <v>#REF!</v>
      </c>
      <c r="C152" s="32" t="str">
        <f>'Invest. IF'!B152</f>
        <v>Talca</v>
      </c>
      <c r="D152" s="7">
        <f>'Invest. IF'!C152</f>
        <v>573</v>
      </c>
      <c r="E152" s="32" t="str">
        <f>'Invest. IF'!D152</f>
        <v>Cerro la virgen 3</v>
      </c>
      <c r="F152" s="32" t="str">
        <f>'Invest. IF'!E152</f>
        <v>4.10.4</v>
      </c>
      <c r="G152" s="32" t="str">
        <f>'Invest. IF'!F152</f>
        <v>Acciones asociadas a fumar</v>
      </c>
      <c r="H152" s="32" t="str">
        <f>'Invest. IF'!G152</f>
        <v>4.10</v>
      </c>
      <c r="I152" s="32" t="str">
        <f>'Invest. IF'!H152</f>
        <v>Otras causas</v>
      </c>
      <c r="J152" s="32" t="str">
        <f>'Invest. IF'!I152</f>
        <v>Negligentes</v>
      </c>
      <c r="K152" s="32" t="str">
        <f>'Invest. IF'!M152</f>
        <v>Febrero</v>
      </c>
      <c r="L152" s="32" t="str">
        <f>'Invest. IF'!N152</f>
        <v>ITA_N-151_R20-CERRO LA VIRGEN 3_NR-573</v>
      </c>
      <c r="M152" s="32" t="str">
        <f>'Invest. IF'!O152</f>
        <v>Talca</v>
      </c>
      <c r="N152" s="32">
        <f>'Invest. IF'!J152</f>
        <v>253161</v>
      </c>
      <c r="O152" s="32">
        <f>'Invest. IF'!K152</f>
        <v>6077170</v>
      </c>
    </row>
    <row r="153" spans="1:15" x14ac:dyDescent="0.2">
      <c r="A153" s="36">
        <f>'Invest. IF'!A153</f>
        <v>152</v>
      </c>
      <c r="B153" s="21" t="e">
        <f>'Invest. IF'!#REF!</f>
        <v>#REF!</v>
      </c>
      <c r="C153" s="32" t="str">
        <f>'Invest. IF'!B153</f>
        <v>Talca</v>
      </c>
      <c r="D153" s="7">
        <f>'Invest. IF'!C153</f>
        <v>576</v>
      </c>
      <c r="E153" s="32" t="str">
        <f>'Invest. IF'!D153</f>
        <v>Cruce El Tabaco</v>
      </c>
      <c r="F153" s="32" t="str">
        <f>'Invest. IF'!E153</f>
        <v>4.8.1</v>
      </c>
      <c r="G153" s="32" t="str">
        <f>'Invest. IF'!F153</f>
        <v>Quema no avisada con fines de limpieza en canales, cunetas, cercos o caminos (en predios particulares o públicos) que se propaga libre y sin control</v>
      </c>
      <c r="H153" s="32" t="str">
        <f>'Invest. IF'!G153</f>
        <v>4.8</v>
      </c>
      <c r="I153" s="32" t="str">
        <f>'Invest. IF'!H153</f>
        <v>Otras quemas</v>
      </c>
      <c r="J153" s="32" t="str">
        <f>'Invest. IF'!I153</f>
        <v>Negligentes</v>
      </c>
      <c r="K153" s="32" t="str">
        <f>'Invest. IF'!M153</f>
        <v>Febrero</v>
      </c>
      <c r="L153" s="32" t="str">
        <f>'Invest. IF'!N153</f>
        <v>ITA_N-152_R20-CRUCE EL TABACO_NR-576</v>
      </c>
      <c r="M153" s="32" t="str">
        <f>'Invest. IF'!O153</f>
        <v>Talca</v>
      </c>
      <c r="N153" s="32">
        <f>'Invest. IF'!J153</f>
        <v>260209</v>
      </c>
      <c r="O153" s="32">
        <f>'Invest. IF'!K153</f>
        <v>6073787</v>
      </c>
    </row>
    <row r="154" spans="1:15" x14ac:dyDescent="0.2">
      <c r="A154" s="36">
        <f>'Invest. IF'!A154</f>
        <v>153</v>
      </c>
      <c r="B154" s="21" t="e">
        <f>'Invest. IF'!#REF!</f>
        <v>#REF!</v>
      </c>
      <c r="C154" s="32" t="str">
        <f>'Invest. IF'!B154</f>
        <v>Curepto</v>
      </c>
      <c r="D154" s="7">
        <f>'Invest. IF'!C154</f>
        <v>577</v>
      </c>
      <c r="E154" s="32" t="str">
        <f>'Invest. IF'!D154</f>
        <v>Cruce El Membrillo</v>
      </c>
      <c r="F154" s="32" t="str">
        <f>'Invest. IF'!E154</f>
        <v>4.6</v>
      </c>
      <c r="G154" s="32">
        <f>'Invest. IF'!F154</f>
        <v>0</v>
      </c>
      <c r="H154" s="32" t="str">
        <f>'Invest. IF'!G154</f>
        <v>4.6</v>
      </c>
      <c r="I154" s="32" t="str">
        <f>'Invest. IF'!H154</f>
        <v>Parcelaciones, edificaciones residenciales, industriales u otras en zonas rurales o de interfaz</v>
      </c>
      <c r="J154" s="32" t="str">
        <f>'Invest. IF'!I154</f>
        <v>Negligentes</v>
      </c>
      <c r="K154" s="32" t="str">
        <f>'Invest. IF'!M154</f>
        <v>Marzo</v>
      </c>
      <c r="L154" s="32" t="str">
        <f>'Invest. IF'!N154</f>
        <v>ITA_N-153_R20-CRUCE EL MEMBRILLO_NR-577</v>
      </c>
      <c r="M154" s="32" t="str">
        <f>'Invest. IF'!O154</f>
        <v>Talca</v>
      </c>
      <c r="N154" s="32">
        <f>'Invest. IF'!J154</f>
        <v>230285</v>
      </c>
      <c r="O154" s="32">
        <f>'Invest. IF'!K154</f>
        <v>6111868</v>
      </c>
    </row>
    <row r="155" spans="1:15" x14ac:dyDescent="0.2">
      <c r="A155" s="36">
        <f>'Invest. IF'!A155</f>
        <v>154</v>
      </c>
      <c r="B155" s="21" t="e">
        <f>'Invest. IF'!#REF!</f>
        <v>#REF!</v>
      </c>
      <c r="C155" s="32" t="str">
        <f>'Invest. IF'!B155</f>
        <v>Pencahue</v>
      </c>
      <c r="D155" s="7">
        <f>'Invest. IF'!C155</f>
        <v>418</v>
      </c>
      <c r="E155" s="32" t="str">
        <f>'Invest. IF'!D155</f>
        <v>Botalcura</v>
      </c>
      <c r="F155" s="32" t="str">
        <f>'Invest. IF'!E155</f>
        <v>4.6.1</v>
      </c>
      <c r="G155" s="32" t="str">
        <f>'Invest. IF'!F155</f>
        <v>Generado por el uso de equipos o herramientas con fines de construcción, limpieza o montaje de estructuras</v>
      </c>
      <c r="H155" s="32" t="str">
        <f>'Invest. IF'!G155</f>
        <v>4.6</v>
      </c>
      <c r="I155" s="32" t="str">
        <f>'Invest. IF'!H155</f>
        <v>Parcelaciones, edificaciones residenciales, industriales u otras en zonas rurales o de interfaz</v>
      </c>
      <c r="J155" s="32" t="str">
        <f>'Invest. IF'!I155</f>
        <v>Negligentes</v>
      </c>
      <c r="K155" s="32" t="str">
        <f>'Invest. IF'!M155</f>
        <v>Marzo</v>
      </c>
      <c r="L155" s="32" t="str">
        <f>'Invest. IF'!N155</f>
        <v>ITA_N-154_R20-BOTALCURA_NR-418</v>
      </c>
      <c r="M155" s="32" t="str">
        <f>'Invest. IF'!O155</f>
        <v>Talca</v>
      </c>
      <c r="N155" s="32">
        <f>'Invest. IF'!J155</f>
        <v>246890</v>
      </c>
      <c r="O155" s="32">
        <f>'Invest. IF'!K155</f>
        <v>6091761</v>
      </c>
    </row>
    <row r="156" spans="1:15" x14ac:dyDescent="0.2">
      <c r="A156" s="36">
        <f>'Invest. IF'!A156</f>
        <v>155</v>
      </c>
      <c r="B156" s="21" t="e">
        <f>'Invest. IF'!#REF!</f>
        <v>#REF!</v>
      </c>
      <c r="C156" s="32" t="str">
        <f>'Invest. IF'!B156</f>
        <v>Talca</v>
      </c>
      <c r="D156" s="7">
        <f>'Invest. IF'!C156</f>
        <v>567</v>
      </c>
      <c r="E156" s="32" t="str">
        <f>'Invest. IF'!D156</f>
        <v>Panguilemo</v>
      </c>
      <c r="F156" s="32" t="str">
        <f>'Invest. IF'!E156</f>
        <v>4.6.3</v>
      </c>
      <c r="G156" s="32" t="str">
        <f>'Invest. IF'!F156</f>
        <v>Generado por infraestructura destinada a la producción de energía  (solar, eólica, otros)</v>
      </c>
      <c r="H156" s="32" t="str">
        <f>'Invest. IF'!G156</f>
        <v>4.6</v>
      </c>
      <c r="I156" s="32" t="str">
        <f>'Invest. IF'!H156</f>
        <v>Parcelaciones, edificaciones residenciales, industriales u otras en zonas rurales o de interfaz</v>
      </c>
      <c r="J156" s="32" t="str">
        <f>'Invest. IF'!I156</f>
        <v>Negligentes</v>
      </c>
      <c r="K156" s="32" t="str">
        <f>'Invest. IF'!M156</f>
        <v>Marzo</v>
      </c>
      <c r="L156" s="32" t="str">
        <f>'Invest. IF'!N156</f>
        <v>ITA_N-155_R20-PANGUILEMO_NR-567</v>
      </c>
      <c r="M156" s="32" t="str">
        <f>'Invest. IF'!O156</f>
        <v>Talca</v>
      </c>
      <c r="N156" s="32">
        <f>'Invest. IF'!J156</f>
        <v>264246</v>
      </c>
      <c r="O156" s="32">
        <f>'Invest. IF'!K156</f>
        <v>6082219</v>
      </c>
    </row>
    <row r="157" spans="1:15" x14ac:dyDescent="0.2">
      <c r="A157" s="36">
        <f>'Invest. IF'!A157</f>
        <v>156</v>
      </c>
      <c r="B157" s="21" t="e">
        <f>'Invest. IF'!#REF!</f>
        <v>#REF!</v>
      </c>
      <c r="C157" s="32" t="str">
        <f>'Invest. IF'!B157</f>
        <v>San Clemente</v>
      </c>
      <c r="D157" s="7">
        <f>'Invest. IF'!C157</f>
        <v>436</v>
      </c>
      <c r="E157" s="32" t="str">
        <f>'Invest. IF'!D157</f>
        <v>Quebrada de agua</v>
      </c>
      <c r="F157" s="32" t="str">
        <f>'Invest. IF'!E157</f>
        <v>4.2.1</v>
      </c>
      <c r="G157" s="32" t="str">
        <f>'Invest. IF'!F157</f>
        <v>Quema no avisada de desechos agrícolas que se propaga libre y sin control</v>
      </c>
      <c r="H157" s="32" t="str">
        <f>'Invest. IF'!G157</f>
        <v>4.2</v>
      </c>
      <c r="I157" s="32" t="str">
        <f>'Invest. IF'!H157</f>
        <v>Faenas agrícolas y pecuarias</v>
      </c>
      <c r="J157" s="32" t="str">
        <f>'Invest. IF'!I157</f>
        <v>Negligentes</v>
      </c>
      <c r="K157" s="32" t="str">
        <f>'Invest. IF'!M157</f>
        <v>Marzo</v>
      </c>
      <c r="L157" s="32" t="str">
        <f>'Invest. IF'!N157</f>
        <v>ITA_N-156_R20-QUEBRADA DE AGUA_NR-436</v>
      </c>
      <c r="M157" s="32" t="str">
        <f>'Invest. IF'!O157</f>
        <v>Talca</v>
      </c>
      <c r="N157" s="32">
        <f>'Invest. IF'!J157</f>
        <v>276549</v>
      </c>
      <c r="O157" s="32">
        <f>'Invest. IF'!K157</f>
        <v>6067739</v>
      </c>
    </row>
    <row r="158" spans="1:15" x14ac:dyDescent="0.2">
      <c r="A158" s="36">
        <f>'Invest. IF'!A158</f>
        <v>157</v>
      </c>
      <c r="B158" s="21" t="e">
        <f>'Invest. IF'!#REF!</f>
        <v>#REF!</v>
      </c>
      <c r="C158" s="32" t="str">
        <f>'Invest. IF'!B158</f>
        <v>Retiro</v>
      </c>
      <c r="D158" s="7">
        <f>'Invest. IF'!C158</f>
        <v>346</v>
      </c>
      <c r="E158" s="32" t="str">
        <f>'Invest. IF'!D158</f>
        <v>El Carmen uno 2</v>
      </c>
      <c r="F158" s="32" t="str">
        <f>'Invest. IF'!E158</f>
        <v>2.1.1</v>
      </c>
      <c r="G158" s="32" t="str">
        <f>'Invest. IF'!F158</f>
        <v>Provocado, no se identifica la motivación</v>
      </c>
      <c r="H158" s="32" t="str">
        <f>'Invest. IF'!G158</f>
        <v>2.1</v>
      </c>
      <c r="I158" s="32" t="str">
        <f>'Invest. IF'!H158</f>
        <v>Incendios intencionales</v>
      </c>
      <c r="J158" s="32" t="str">
        <f>'Invest. IF'!I158</f>
        <v>Intencionales</v>
      </c>
      <c r="K158" s="32" t="str">
        <f>'Invest. IF'!M158</f>
        <v>Marzo</v>
      </c>
      <c r="L158" s="32" t="str">
        <f>'Invest. IF'!N158</f>
        <v>ITA_N-157_R20-EL CARMEN UNO 2_NR-346</v>
      </c>
      <c r="M158" s="32" t="str">
        <f>'Invest. IF'!O158</f>
        <v>Linares</v>
      </c>
      <c r="N158" s="32">
        <f>'Invest. IF'!J158</f>
        <v>248721</v>
      </c>
      <c r="O158" s="32">
        <f>'Invest. IF'!K158</f>
        <v>6002423</v>
      </c>
    </row>
    <row r="159" spans="1:15" x14ac:dyDescent="0.2">
      <c r="A159" s="36">
        <f>'Invest. IF'!A159</f>
        <v>158</v>
      </c>
      <c r="B159" s="21" t="e">
        <f>'Invest. IF'!#REF!</f>
        <v>#REF!</v>
      </c>
      <c r="C159" s="32" t="str">
        <f>'Invest. IF'!B159</f>
        <v>Retiro</v>
      </c>
      <c r="D159" s="7">
        <f>'Invest. IF'!C159</f>
        <v>400</v>
      </c>
      <c r="E159" s="32" t="str">
        <f>'Invest. IF'!D159</f>
        <v>El Membrillo</v>
      </c>
      <c r="F159" s="32" t="str">
        <f>'Invest. IF'!E159</f>
        <v>2.1.1</v>
      </c>
      <c r="G159" s="32" t="str">
        <f>'Invest. IF'!F159</f>
        <v>Provocado, no se identifica la motivación</v>
      </c>
      <c r="H159" s="32" t="str">
        <f>'Invest. IF'!G159</f>
        <v>2.1</v>
      </c>
      <c r="I159" s="32" t="str">
        <f>'Invest. IF'!H159</f>
        <v>Incendios intencionales</v>
      </c>
      <c r="J159" s="32" t="str">
        <f>'Invest. IF'!I159</f>
        <v>Intencionales</v>
      </c>
      <c r="K159" s="32" t="str">
        <f>'Invest. IF'!M159</f>
        <v>Marzo</v>
      </c>
      <c r="L159" s="32" t="str">
        <f>'Invest. IF'!N159</f>
        <v>ITA_N-158_R20-EL MEMBRILLO_NR-400</v>
      </c>
      <c r="M159" s="32" t="str">
        <f>'Invest. IF'!O159</f>
        <v>Linares</v>
      </c>
      <c r="N159" s="32">
        <f>'Invest. IF'!J159</f>
        <v>248779</v>
      </c>
      <c r="O159" s="32">
        <f>'Invest. IF'!K159</f>
        <v>6002349</v>
      </c>
    </row>
    <row r="160" spans="1:15" x14ac:dyDescent="0.2">
      <c r="A160" s="36">
        <f>'Invest. IF'!A160</f>
        <v>159</v>
      </c>
      <c r="B160" s="21" t="e">
        <f>'Invest. IF'!#REF!</f>
        <v>#REF!</v>
      </c>
      <c r="C160" s="32" t="str">
        <f>'Invest. IF'!B160</f>
        <v>Retiro</v>
      </c>
      <c r="D160" s="7">
        <f>'Invest. IF'!C160</f>
        <v>289</v>
      </c>
      <c r="E160" s="32" t="str">
        <f>'Invest. IF'!D160</f>
        <v>Bajos de Copihue</v>
      </c>
      <c r="F160" s="32" t="str">
        <f>'Invest. IF'!E160</f>
        <v>2.1.1</v>
      </c>
      <c r="G160" s="32" t="str">
        <f>'Invest. IF'!F160</f>
        <v>Provocado, no se identifica la motivación</v>
      </c>
      <c r="H160" s="32" t="str">
        <f>'Invest. IF'!G160</f>
        <v>2.1</v>
      </c>
      <c r="I160" s="32" t="str">
        <f>'Invest. IF'!H160</f>
        <v>Incendios intencionales</v>
      </c>
      <c r="J160" s="32" t="str">
        <f>'Invest. IF'!I160</f>
        <v>Intencionales</v>
      </c>
      <c r="K160" s="32" t="str">
        <f>'Invest. IF'!M160</f>
        <v>Marzo</v>
      </c>
      <c r="L160" s="32" t="str">
        <f>'Invest. IF'!N160</f>
        <v>ITA_N-159_R20-BAJOS DE COPIHUE_NR-289</v>
      </c>
      <c r="M160" s="32" t="str">
        <f>'Invest. IF'!O160</f>
        <v>Linares</v>
      </c>
      <c r="N160" s="32">
        <f>'Invest. IF'!J160</f>
        <v>248874</v>
      </c>
      <c r="O160" s="32">
        <f>'Invest. IF'!K160</f>
        <v>6002322</v>
      </c>
    </row>
    <row r="161" spans="1:15" x14ac:dyDescent="0.2">
      <c r="A161" s="36">
        <f>'Invest. IF'!A161</f>
        <v>160</v>
      </c>
      <c r="B161" s="21" t="e">
        <f>'Invest. IF'!#REF!</f>
        <v>#REF!</v>
      </c>
      <c r="C161" s="32" t="str">
        <f>'Invest. IF'!B161</f>
        <v>Pencahue</v>
      </c>
      <c r="D161" s="7">
        <f>'Invest. IF'!C161</f>
        <v>491</v>
      </c>
      <c r="E161" s="32" t="str">
        <f>'Invest. IF'!D161</f>
        <v>González Bastías</v>
      </c>
      <c r="F161" s="32" t="str">
        <f>'Invest. IF'!E161</f>
        <v>4.6.5</v>
      </c>
      <c r="G161" s="32" t="str">
        <f>'Invest. IF'!F161</f>
        <v>Empleo de fuentes de calor en actividades relacionadas a parcelaciones (asados, tijerales, fogatas, otros)</v>
      </c>
      <c r="H161" s="32" t="str">
        <f>'Invest. IF'!G161</f>
        <v>4.6</v>
      </c>
      <c r="I161" s="32" t="str">
        <f>'Invest. IF'!H161</f>
        <v>Parcelaciones, edificaciones residenciales, industriales u otras en zonas rurales o de interfaz</v>
      </c>
      <c r="J161" s="32" t="str">
        <f>'Invest. IF'!I161</f>
        <v>Negligentes</v>
      </c>
      <c r="K161" s="32" t="str">
        <f>'Invest. IF'!M161</f>
        <v>Marzo</v>
      </c>
      <c r="L161" s="32" t="str">
        <f>'Invest. IF'!N161</f>
        <v>ITA_N-160_R20-GONZÁLEZ BASTÍAS_NR-491</v>
      </c>
      <c r="M161" s="32" t="str">
        <f>'Invest. IF'!O161</f>
        <v>Talca</v>
      </c>
      <c r="N161" s="32">
        <f>'Invest. IF'!J161</f>
        <v>769484</v>
      </c>
      <c r="O161" s="32">
        <f>'Invest. IF'!K161</f>
        <v>6074148</v>
      </c>
    </row>
    <row r="162" spans="1:15" x14ac:dyDescent="0.2">
      <c r="A162" s="36">
        <f>'Invest. IF'!A162</f>
        <v>161</v>
      </c>
      <c r="B162" s="21" t="e">
        <f>'Invest. IF'!#REF!</f>
        <v>#REF!</v>
      </c>
      <c r="C162" s="32" t="str">
        <f>'Invest. IF'!B162</f>
        <v>Curepto</v>
      </c>
      <c r="D162" s="7">
        <f>'Invest. IF'!C162</f>
        <v>351</v>
      </c>
      <c r="E162" s="32" t="str">
        <f>'Invest. IF'!D162</f>
        <v xml:space="preserve">Monte grande </v>
      </c>
      <c r="F162" s="32" t="str">
        <f>'Invest. IF'!E162</f>
        <v>4.10.4</v>
      </c>
      <c r="G162" s="32" t="str">
        <f>'Invest. IF'!F162</f>
        <v>Acciones asociadas a fumar</v>
      </c>
      <c r="H162" s="32" t="str">
        <f>'Invest. IF'!G162</f>
        <v>4.10</v>
      </c>
      <c r="I162" s="32" t="str">
        <f>'Invest. IF'!H162</f>
        <v>Otras causas</v>
      </c>
      <c r="J162" s="32" t="str">
        <f>'Invest. IF'!I162</f>
        <v>Negligentes</v>
      </c>
      <c r="K162" s="32" t="str">
        <f>'Invest. IF'!M162</f>
        <v>Marzo</v>
      </c>
      <c r="L162" s="32" t="str">
        <f>'Invest. IF'!N162</f>
        <v>ITA_N-161_R20-MONTE GRANDE_NR-351</v>
      </c>
      <c r="M162" s="32" t="str">
        <f>'Invest. IF'!O162</f>
        <v>Talca</v>
      </c>
      <c r="N162" s="32">
        <f>'Invest. IF'!J162</f>
        <v>768431</v>
      </c>
      <c r="O162" s="32">
        <f>'Invest. IF'!K162</f>
        <v>6118728</v>
      </c>
    </row>
    <row r="163" spans="1:15" x14ac:dyDescent="0.2">
      <c r="A163" s="36">
        <f>'Invest. IF'!A163</f>
        <v>162</v>
      </c>
      <c r="B163" s="21" t="e">
        <f>'Invest. IF'!#REF!</f>
        <v>#REF!</v>
      </c>
      <c r="C163" s="32" t="str">
        <f>'Invest. IF'!B163</f>
        <v>Parral</v>
      </c>
      <c r="D163" s="7">
        <f>'Invest. IF'!C163</f>
        <v>449</v>
      </c>
      <c r="E163" s="32" t="str">
        <f>'Invest. IF'!D163</f>
        <v>El Bosque</v>
      </c>
      <c r="F163" s="32" t="str">
        <f>'Invest. IF'!E163</f>
        <v>3.1.1</v>
      </c>
      <c r="G163" s="32" t="str">
        <f>'Invest. IF'!F163</f>
        <v>Caída de rayo</v>
      </c>
      <c r="H163" s="32" t="str">
        <f>'Invest. IF'!G163</f>
        <v>3.1</v>
      </c>
      <c r="I163" s="32" t="str">
        <f>'Invest. IF'!H163</f>
        <v>Incendios naturales</v>
      </c>
      <c r="J163" s="32" t="str">
        <f>'Invest. IF'!I163</f>
        <v>Naturales</v>
      </c>
      <c r="K163" s="32" t="str">
        <f>'Invest. IF'!M163</f>
        <v>Marzo</v>
      </c>
      <c r="L163" s="32" t="str">
        <f>'Invest. IF'!N163</f>
        <v>ITA_N-162_R20-EL BOSQUE_NR-449</v>
      </c>
      <c r="M163" s="32" t="str">
        <f>'Invest. IF'!O163</f>
        <v>Linares</v>
      </c>
      <c r="N163" s="32">
        <f>'Invest. IF'!J163</f>
        <v>286106</v>
      </c>
      <c r="O163" s="32">
        <f>'Invest. IF'!K163</f>
        <v>5963409</v>
      </c>
    </row>
    <row r="164" spans="1:15" x14ac:dyDescent="0.2">
      <c r="A164" s="36">
        <f>'Invest. IF'!A164</f>
        <v>163</v>
      </c>
      <c r="B164" s="21" t="e">
        <f>'Invest. IF'!#REF!</f>
        <v>#REF!</v>
      </c>
      <c r="C164" s="32" t="str">
        <f>'Invest. IF'!B164</f>
        <v>Linares</v>
      </c>
      <c r="D164" s="7">
        <f>'Invest. IF'!C164</f>
        <v>460</v>
      </c>
      <c r="E164" s="32" t="str">
        <f>'Invest. IF'!D164</f>
        <v>Cajón de pejerrey</v>
      </c>
      <c r="F164" s="32" t="str">
        <f>'Invest. IF'!E164</f>
        <v>3.1.1</v>
      </c>
      <c r="G164" s="32" t="str">
        <f>'Invest. IF'!F164</f>
        <v>Caída de rayo</v>
      </c>
      <c r="H164" s="32" t="str">
        <f>'Invest. IF'!G164</f>
        <v>3.1</v>
      </c>
      <c r="I164" s="32" t="str">
        <f>'Invest. IF'!H164</f>
        <v>Incendios naturales</v>
      </c>
      <c r="J164" s="32" t="str">
        <f>'Invest. IF'!I164</f>
        <v>Naturales</v>
      </c>
      <c r="K164" s="32" t="str">
        <f>'Invest. IF'!M164</f>
        <v>Marzo</v>
      </c>
      <c r="L164" s="32" t="str">
        <f>'Invest. IF'!N164</f>
        <v>ITA_N-163_R20-CAJON DE PEJERREY_NR-460</v>
      </c>
      <c r="M164" s="32" t="str">
        <f>'Invest. IF'!O164</f>
        <v>Linares</v>
      </c>
      <c r="N164" s="32">
        <f>'Invest. IF'!J164</f>
        <v>296435</v>
      </c>
      <c r="O164" s="32">
        <f>'Invest. IF'!K164</f>
        <v>6010648</v>
      </c>
    </row>
    <row r="165" spans="1:15" x14ac:dyDescent="0.2">
      <c r="A165" s="36">
        <f>'Invest. IF'!A165</f>
        <v>164</v>
      </c>
      <c r="B165" s="21" t="e">
        <f>'Invest. IF'!#REF!</f>
        <v>#REF!</v>
      </c>
      <c r="C165" s="32" t="str">
        <f>'Invest. IF'!B165</f>
        <v>San Rafael</v>
      </c>
      <c r="D165" s="7">
        <f>'Invest. IF'!C165</f>
        <v>251</v>
      </c>
      <c r="E165" s="32" t="str">
        <f>'Invest. IF'!D165</f>
        <v>La Palma</v>
      </c>
      <c r="F165" s="32" t="str">
        <f>'Invest. IF'!E165</f>
        <v>4.2.1</v>
      </c>
      <c r="G165" s="32" t="str">
        <f>'Invest. IF'!F165</f>
        <v>Quema no avisada de desechos agrícolas que se propaga libre y sin control</v>
      </c>
      <c r="H165" s="32" t="str">
        <f>'Invest. IF'!G165</f>
        <v>4.2</v>
      </c>
      <c r="I165" s="32" t="str">
        <f>'Invest. IF'!H165</f>
        <v>Faenas agrícolas y pecuarias</v>
      </c>
      <c r="J165" s="32" t="str">
        <f>'Invest. IF'!I165</f>
        <v>Negligentes</v>
      </c>
      <c r="K165" s="32" t="str">
        <f>'Invest. IF'!M165</f>
        <v>Marzo</v>
      </c>
      <c r="L165" s="32" t="str">
        <f>'Invest. IF'!N165</f>
        <v>ITA_N-164_R20-LA PALMA_NR-251</v>
      </c>
      <c r="M165" s="32" t="str">
        <f>'Invest. IF'!O165</f>
        <v>Talca</v>
      </c>
      <c r="N165" s="32">
        <f>'Invest. IF'!J165</f>
        <v>271193</v>
      </c>
      <c r="O165" s="32">
        <f>'Invest. IF'!K165</f>
        <v>6096269</v>
      </c>
    </row>
    <row r="166" spans="1:15" x14ac:dyDescent="0.2">
      <c r="A166" s="36">
        <f>'Invest. IF'!A166</f>
        <v>165</v>
      </c>
      <c r="B166" s="21" t="e">
        <f>'Invest. IF'!#REF!</f>
        <v>#REF!</v>
      </c>
      <c r="C166" s="32" t="str">
        <f>'Invest. IF'!B166</f>
        <v>San Rafael</v>
      </c>
      <c r="D166" s="7">
        <f>'Invest. IF'!C166</f>
        <v>237</v>
      </c>
      <c r="E166" s="32" t="str">
        <f>'Invest. IF'!D166</f>
        <v>San Manuel 2</v>
      </c>
      <c r="F166" s="32" t="str">
        <f>'Invest. IF'!E166</f>
        <v>4.5.1</v>
      </c>
      <c r="G166" s="32" t="str">
        <f>'Invest. IF'!F166</f>
        <v>Rebrote de incendio anterior, declarado extinto</v>
      </c>
      <c r="H166" s="32" t="str">
        <f>'Invest. IF'!G166</f>
        <v>4.5</v>
      </c>
      <c r="I166" s="32" t="str">
        <f>'Invest. IF'!H166</f>
        <v>Actividades de control y extinción de incendios forestales</v>
      </c>
      <c r="J166" s="32" t="str">
        <f>'Invest. IF'!I166</f>
        <v>Negligentes</v>
      </c>
      <c r="K166" s="32" t="str">
        <f>'Invest. IF'!M166</f>
        <v>Marzo</v>
      </c>
      <c r="L166" s="32" t="str">
        <f>'Invest. IF'!N166</f>
        <v>ITA_N-165_R20-SAN MANUEL 2_NR-237</v>
      </c>
      <c r="M166" s="32" t="str">
        <f>'Invest. IF'!O166</f>
        <v>Talca</v>
      </c>
      <c r="N166" s="32">
        <f>'Invest. IF'!J166</f>
        <v>271380</v>
      </c>
      <c r="O166" s="32">
        <f>'Invest. IF'!K166</f>
        <v>6096615</v>
      </c>
    </row>
    <row r="167" spans="1:15" x14ac:dyDescent="0.2">
      <c r="A167" s="36">
        <f>'Invest. IF'!A167</f>
        <v>166</v>
      </c>
      <c r="B167" s="21" t="e">
        <f>'Invest. IF'!#REF!</f>
        <v>#REF!</v>
      </c>
      <c r="C167" s="32" t="str">
        <f>'Invest. IF'!B167</f>
        <v>San Rafael</v>
      </c>
      <c r="D167" s="7">
        <f>'Invest. IF'!C167</f>
        <v>277</v>
      </c>
      <c r="E167" s="32" t="str">
        <f>'Invest. IF'!D167</f>
        <v>San Claudio</v>
      </c>
      <c r="F167" s="32" t="str">
        <f>'Invest. IF'!E167</f>
        <v>4.10.12</v>
      </c>
      <c r="G167" s="32" t="str">
        <f>'Invest. IF'!F167</f>
        <v>Otras actividades negligentes no clasificadas</v>
      </c>
      <c r="H167" s="32" t="str">
        <f>'Invest. IF'!G167</f>
        <v>4.10</v>
      </c>
      <c r="I167" s="32" t="str">
        <f>'Invest. IF'!H167</f>
        <v>Otras causas</v>
      </c>
      <c r="J167" s="32" t="str">
        <f>'Invest. IF'!I167</f>
        <v>Negligentes</v>
      </c>
      <c r="K167" s="32" t="str">
        <f>'Invest. IF'!M167</f>
        <v>Marzo</v>
      </c>
      <c r="L167" s="32" t="str">
        <f>'Invest. IF'!N167</f>
        <v>ITA_N-166_R20-SAN CLAUDIO_NR-277</v>
      </c>
      <c r="M167" s="32" t="str">
        <f>'Invest. IF'!O167</f>
        <v>Talca</v>
      </c>
      <c r="N167" s="32">
        <f>'Invest. IF'!J167</f>
        <v>271329</v>
      </c>
      <c r="O167" s="32">
        <f>'Invest. IF'!K167</f>
        <v>6096722</v>
      </c>
    </row>
    <row r="168" spans="1:15" x14ac:dyDescent="0.2">
      <c r="A168" s="36">
        <f>'Invest. IF'!A168</f>
        <v>167</v>
      </c>
      <c r="B168" s="21" t="e">
        <f>'Invest. IF'!#REF!</f>
        <v>#REF!</v>
      </c>
      <c r="C168" s="32" t="str">
        <f>'Invest. IF'!B168</f>
        <v>San Javier</v>
      </c>
      <c r="D168" s="7">
        <f>'Invest. IF'!C168</f>
        <v>569</v>
      </c>
      <c r="E168" s="32" t="str">
        <f>'Invest. IF'!D168</f>
        <v>Vaqueria 2</v>
      </c>
      <c r="F168" s="32" t="str">
        <f>'Invest. IF'!E168</f>
        <v>4.2.8</v>
      </c>
      <c r="G168" s="32" t="str">
        <f>'Invest. IF'!F168</f>
        <v>Otras causas negligentes no clasificadas en faenas agrícolas y pecuarias</v>
      </c>
      <c r="H168" s="32" t="str">
        <f>'Invest. IF'!G168</f>
        <v>4.2</v>
      </c>
      <c r="I168" s="32" t="str">
        <f>'Invest. IF'!H168</f>
        <v>Faenas agrícolas y pecuarias</v>
      </c>
      <c r="J168" s="32" t="str">
        <f>'Invest. IF'!I168</f>
        <v>Negligentes</v>
      </c>
      <c r="K168" s="32" t="str">
        <f>'Invest. IF'!M168</f>
        <v>Marzo</v>
      </c>
      <c r="L168" s="32" t="str">
        <f>'Invest. IF'!N168</f>
        <v>ITA_N-167_R20-VAQUERIA 2_NR-569</v>
      </c>
      <c r="M168" s="32" t="str">
        <f>'Invest. IF'!O168</f>
        <v>Linares</v>
      </c>
      <c r="N168" s="32">
        <f>'Invest. IF'!J168</f>
        <v>244899</v>
      </c>
      <c r="O168" s="32">
        <f>'Invest. IF'!K168</f>
        <v>6056177</v>
      </c>
    </row>
    <row r="169" spans="1:15" x14ac:dyDescent="0.2">
      <c r="A169" s="36">
        <f>'Invest. IF'!A169</f>
        <v>168</v>
      </c>
      <c r="B169" s="21" t="e">
        <f>'Invest. IF'!#REF!</f>
        <v>#REF!</v>
      </c>
      <c r="C169" s="32" t="str">
        <f>'Invest. IF'!B169</f>
        <v>Teno</v>
      </c>
      <c r="D169" s="7">
        <f>'Invest. IF'!C169</f>
        <v>224</v>
      </c>
      <c r="E169" s="32" t="str">
        <f>'Invest. IF'!D169</f>
        <v>Viluco 2</v>
      </c>
      <c r="F169" s="32" t="str">
        <f>'Invest. IF'!E169</f>
        <v>4.8.2</v>
      </c>
      <c r="G169" s="32" t="str">
        <f>'Invest. IF'!F169</f>
        <v>Quema de basura residencial o desechos vegetales</v>
      </c>
      <c r="H169" s="32" t="str">
        <f>'Invest. IF'!G169</f>
        <v>4.8</v>
      </c>
      <c r="I169" s="32" t="str">
        <f>'Invest. IF'!H169</f>
        <v>Otras quemas</v>
      </c>
      <c r="J169" s="32" t="str">
        <f>'Invest. IF'!I169</f>
        <v>Negligentes</v>
      </c>
      <c r="K169" s="32" t="str">
        <f>'Invest. IF'!M169</f>
        <v>Marzo</v>
      </c>
      <c r="L169" s="32" t="str">
        <f>'Invest. IF'!N169</f>
        <v>ITA_N-168_R20-VILUCO  2_NR-224</v>
      </c>
      <c r="M169" s="32" t="str">
        <f>'Invest. IF'!O169</f>
        <v>Curicó</v>
      </c>
      <c r="N169" s="32">
        <f>'Invest. IF'!J169</f>
        <v>301430</v>
      </c>
      <c r="O169" s="32">
        <f>'Invest. IF'!K169</f>
        <v>6136159</v>
      </c>
    </row>
    <row r="170" spans="1:15" x14ac:dyDescent="0.2">
      <c r="A170" s="36">
        <f>'Invest. IF'!A170</f>
        <v>169</v>
      </c>
      <c r="B170" s="21" t="e">
        <f>'Invest. IF'!#REF!</f>
        <v>#REF!</v>
      </c>
      <c r="C170" s="32" t="str">
        <f>'Invest. IF'!B170</f>
        <v>Teno</v>
      </c>
      <c r="D170" s="7">
        <f>'Invest. IF'!C170</f>
        <v>318</v>
      </c>
      <c r="E170" s="32" t="str">
        <f>'Invest. IF'!D170</f>
        <v>Viluco 4</v>
      </c>
      <c r="F170" s="32" t="str">
        <f>'Invest. IF'!E170</f>
        <v>4.8.2</v>
      </c>
      <c r="G170" s="32" t="str">
        <f>'Invest. IF'!F170</f>
        <v>Quema de basura residencial o desechos vegetales</v>
      </c>
      <c r="H170" s="32" t="str">
        <f>'Invest. IF'!G170</f>
        <v>4.8</v>
      </c>
      <c r="I170" s="32" t="str">
        <f>'Invest. IF'!H170</f>
        <v>Otras quemas</v>
      </c>
      <c r="J170" s="32" t="str">
        <f>'Invest. IF'!I170</f>
        <v>Negligentes</v>
      </c>
      <c r="K170" s="32" t="str">
        <f>'Invest. IF'!M170</f>
        <v>Marzo</v>
      </c>
      <c r="L170" s="32" t="str">
        <f>'Invest. IF'!N170</f>
        <v>ITA_N-169_R20-VILUCO  4_NR-318</v>
      </c>
      <c r="M170" s="32" t="str">
        <f>'Invest. IF'!O170</f>
        <v>Curicó</v>
      </c>
      <c r="N170" s="32">
        <f>'Invest. IF'!J170</f>
        <v>301902</v>
      </c>
      <c r="O170" s="32">
        <f>'Invest. IF'!K170</f>
        <v>6136003</v>
      </c>
    </row>
    <row r="171" spans="1:15" x14ac:dyDescent="0.2">
      <c r="A171" s="36">
        <f>'Invest. IF'!A171</f>
        <v>170</v>
      </c>
      <c r="B171" s="21" t="e">
        <f>'Invest. IF'!#REF!</f>
        <v>#REF!</v>
      </c>
      <c r="C171" s="32" t="str">
        <f>'Invest. IF'!B171</f>
        <v>Retiro</v>
      </c>
      <c r="D171" s="7">
        <f>'Invest. IF'!C171</f>
        <v>434</v>
      </c>
      <c r="E171" s="32" t="str">
        <f>'Invest. IF'!D171</f>
        <v>Quillaimo sur</v>
      </c>
      <c r="F171" s="32" t="str">
        <f>'Invest. IF'!E171</f>
        <v>4.2.8</v>
      </c>
      <c r="G171" s="32" t="str">
        <f>'Invest. IF'!F171</f>
        <v>Otras causas negligentes no clasificadas en faenas agrícolas y pecuarias</v>
      </c>
      <c r="H171" s="32" t="str">
        <f>'Invest. IF'!G171</f>
        <v>4.2</v>
      </c>
      <c r="I171" s="32" t="str">
        <f>'Invest. IF'!H171</f>
        <v>Faenas agrícolas y pecuarias</v>
      </c>
      <c r="J171" s="32" t="str">
        <f>'Invest. IF'!I171</f>
        <v>Negligentes</v>
      </c>
      <c r="K171" s="32" t="str">
        <f>'Invest. IF'!M171</f>
        <v>Marzo</v>
      </c>
      <c r="L171" s="32" t="str">
        <f>'Invest. IF'!N171</f>
        <v>ITA_N-170_R20-QUILLAIMO SUR_NR-434</v>
      </c>
      <c r="M171" s="32" t="str">
        <f>'Invest. IF'!O171</f>
        <v>Linares</v>
      </c>
      <c r="N171" s="32">
        <f>'Invest. IF'!J171</f>
        <v>260110</v>
      </c>
      <c r="O171" s="32">
        <f>'Invest. IF'!K171</f>
        <v>5989217</v>
      </c>
    </row>
    <row r="172" spans="1:15" x14ac:dyDescent="0.2">
      <c r="A172" s="36">
        <f>'Invest. IF'!A172</f>
        <v>171</v>
      </c>
      <c r="B172" s="21" t="e">
        <f>'Invest. IF'!#REF!</f>
        <v>#REF!</v>
      </c>
      <c r="C172" s="32" t="str">
        <f>'Invest. IF'!B172</f>
        <v>Retiro</v>
      </c>
      <c r="D172" s="7">
        <f>'Invest. IF'!C172</f>
        <v>495</v>
      </c>
      <c r="E172" s="32" t="str">
        <f>'Invest. IF'!D172</f>
        <v>Quillaimo sur 3</v>
      </c>
      <c r="F172" s="32" t="str">
        <f>'Invest. IF'!E172</f>
        <v>4.11.3</v>
      </c>
      <c r="G172" s="32" t="str">
        <f>'Invest. IF'!F172</f>
        <v>Empleo de fuentes de calor en faena de extracción y/o confección de leña no industrial</v>
      </c>
      <c r="H172" s="32" t="str">
        <f>'Invest. IF'!G172</f>
        <v>4.11</v>
      </c>
      <c r="I172" s="32" t="str">
        <f>'Invest. IF'!H172</f>
        <v>Producción y/o extracción de productos y/o derivados del bosque</v>
      </c>
      <c r="J172" s="32" t="str">
        <f>'Invest. IF'!I172</f>
        <v>Negligentes</v>
      </c>
      <c r="K172" s="32" t="str">
        <f>'Invest. IF'!M172</f>
        <v>Marzo</v>
      </c>
      <c r="L172" s="32" t="str">
        <f>'Invest. IF'!N172</f>
        <v>ITA_N-171_R20-QUILLAIMO SUR 3_NR-495</v>
      </c>
      <c r="M172" s="32" t="str">
        <f>'Invest. IF'!O172</f>
        <v>Linares</v>
      </c>
      <c r="N172" s="32">
        <f>'Invest. IF'!J172</f>
        <v>260631</v>
      </c>
      <c r="O172" s="32">
        <f>'Invest. IF'!K172</f>
        <v>5989014</v>
      </c>
    </row>
    <row r="173" spans="1:15" x14ac:dyDescent="0.2">
      <c r="A173" s="36">
        <f>'Invest. IF'!A173</f>
        <v>172</v>
      </c>
      <c r="B173" s="21" t="e">
        <f>'Invest. IF'!#REF!</f>
        <v>#REF!</v>
      </c>
      <c r="C173" s="32" t="str">
        <f>'Invest. IF'!B173</f>
        <v>Villa Alegre</v>
      </c>
      <c r="D173" s="7">
        <f>'Invest. IF'!C173</f>
        <v>601</v>
      </c>
      <c r="E173" s="32" t="str">
        <f>'Invest. IF'!D173</f>
        <v>Guiones</v>
      </c>
      <c r="F173" s="32" t="str">
        <f>'Invest. IF'!E173</f>
        <v>4.2.1</v>
      </c>
      <c r="G173" s="32" t="str">
        <f>'Invest. IF'!F173</f>
        <v>Quema no avisada de desechos agrícolas que se propaga libre y sin control</v>
      </c>
      <c r="H173" s="32" t="str">
        <f>'Invest. IF'!G173</f>
        <v>4.2</v>
      </c>
      <c r="I173" s="32" t="str">
        <f>'Invest. IF'!H173</f>
        <v>Faenas agrícolas y pecuarias</v>
      </c>
      <c r="J173" s="32" t="str">
        <f>'Invest. IF'!I173</f>
        <v>Negligentes</v>
      </c>
      <c r="K173" s="32" t="str">
        <f>'Invest. IF'!M173</f>
        <v>Marzo</v>
      </c>
      <c r="L173" s="32" t="str">
        <f>'Invest. IF'!N173</f>
        <v>ITA_N-172_R20-GUIONES_NR-601</v>
      </c>
      <c r="M173" s="32" t="str">
        <f>'Invest. IF'!O173</f>
        <v>Linares</v>
      </c>
      <c r="N173" s="32">
        <f>'Invest. IF'!J173</f>
        <v>255639</v>
      </c>
      <c r="O173" s="32">
        <f>'Invest. IF'!K173</f>
        <v>6047346</v>
      </c>
    </row>
    <row r="174" spans="1:15" x14ac:dyDescent="0.2">
      <c r="A174" s="36">
        <f>'Invest. IF'!A174</f>
        <v>173</v>
      </c>
      <c r="B174" s="21" t="e">
        <f>'Invest. IF'!#REF!</f>
        <v>#REF!</v>
      </c>
      <c r="C174" s="32" t="str">
        <f>'Invest. IF'!B174</f>
        <v>Longaví</v>
      </c>
      <c r="D174" s="7">
        <f>'Invest. IF'!C174</f>
        <v>599</v>
      </c>
      <c r="E174" s="32" t="str">
        <f>'Invest. IF'!D174</f>
        <v>Paine</v>
      </c>
      <c r="F174" s="32" t="str">
        <f>'Invest. IF'!E174</f>
        <v>4.11.3</v>
      </c>
      <c r="G174" s="32" t="str">
        <f>'Invest. IF'!F174</f>
        <v>Empleo de fuentes de calor en faena de extracción y/o confección de leña no industrial</v>
      </c>
      <c r="H174" s="32" t="str">
        <f>'Invest. IF'!G174</f>
        <v>4.11</v>
      </c>
      <c r="I174" s="32" t="str">
        <f>'Invest. IF'!H174</f>
        <v>Producción y/o extracción de productos y/o derivados del bosque</v>
      </c>
      <c r="J174" s="32" t="str">
        <f>'Invest. IF'!I174</f>
        <v>Negligentes</v>
      </c>
      <c r="K174" s="32" t="str">
        <f>'Invest. IF'!M174</f>
        <v>Marzo</v>
      </c>
      <c r="L174" s="32" t="str">
        <f>'Invest. IF'!N174</f>
        <v>ITA_N-173_R20-PAINE_NR-599</v>
      </c>
      <c r="M174" s="32" t="str">
        <f>'Invest. IF'!O174</f>
        <v>Linares</v>
      </c>
      <c r="N174" s="32">
        <f>'Invest. IF'!J174</f>
        <v>257306</v>
      </c>
      <c r="O174" s="32">
        <f>'Invest. IF'!K174</f>
        <v>6011924</v>
      </c>
    </row>
    <row r="175" spans="1:15" x14ac:dyDescent="0.2">
      <c r="A175" s="36">
        <f>'Invest. IF'!A175</f>
        <v>174</v>
      </c>
      <c r="B175" s="21" t="e">
        <f>'Invest. IF'!#REF!</f>
        <v>#REF!</v>
      </c>
      <c r="C175" s="32" t="str">
        <f>'Invest. IF'!B175</f>
        <v>Longaví</v>
      </c>
      <c r="D175" s="7">
        <f>'Invest. IF'!C175</f>
        <v>363</v>
      </c>
      <c r="E175" s="32" t="str">
        <f>'Invest. IF'!D175</f>
        <v>San Gabriel 2</v>
      </c>
      <c r="F175" s="32" t="str">
        <f>'Invest. IF'!E175</f>
        <v>4.2.2</v>
      </c>
      <c r="G175" s="32" t="str">
        <f>'Invest. IF'!F175</f>
        <v>Incendio de maquinaria agrícola (desperfecto, falta de mantención, otros)</v>
      </c>
      <c r="H175" s="32" t="str">
        <f>'Invest. IF'!G175</f>
        <v>4.2</v>
      </c>
      <c r="I175" s="32" t="str">
        <f>'Invest. IF'!H175</f>
        <v>Faenas agrícolas y pecuarias</v>
      </c>
      <c r="J175" s="32" t="str">
        <f>'Invest. IF'!I175</f>
        <v>Negligentes</v>
      </c>
      <c r="K175" s="32" t="str">
        <f>'Invest. IF'!M175</f>
        <v>Marzo</v>
      </c>
      <c r="L175" s="32" t="str">
        <f>'Invest. IF'!N175</f>
        <v>ITA_N-174_R20-SAN GABRIEL 2_NR-363</v>
      </c>
      <c r="M175" s="32" t="str">
        <f>'Invest. IF'!O175</f>
        <v>Linares</v>
      </c>
      <c r="N175" s="32">
        <f>'Invest. IF'!J175</f>
        <v>260291</v>
      </c>
      <c r="O175" s="32">
        <f>'Invest. IF'!K175</f>
        <v>6026226</v>
      </c>
    </row>
    <row r="176" spans="1:15" x14ac:dyDescent="0.2">
      <c r="A176" s="36">
        <f>'Invest. IF'!A176</f>
        <v>175</v>
      </c>
      <c r="B176" s="21" t="e">
        <f>'Invest. IF'!#REF!</f>
        <v>#REF!</v>
      </c>
      <c r="C176" s="32" t="str">
        <f>'Invest. IF'!B176</f>
        <v>Parral</v>
      </c>
      <c r="D176" s="7">
        <f>'Invest. IF'!C176</f>
        <v>441</v>
      </c>
      <c r="E176" s="32" t="str">
        <f>'Invest. IF'!D176</f>
        <v>Santa Gertrudis</v>
      </c>
      <c r="F176" s="32" t="str">
        <f>'Invest. IF'!E176</f>
        <v>4.9.1</v>
      </c>
      <c r="G176" s="32" t="str">
        <f>'Invest. IF'!F176</f>
        <v>Combustión de la vegetación, producto del contacto o proximidad con el tendido eléctrico</v>
      </c>
      <c r="H176" s="32" t="str">
        <f>'Invest. IF'!G176</f>
        <v>4.9</v>
      </c>
      <c r="I176" s="32" t="str">
        <f>'Invest. IF'!H176</f>
        <v>Líneas eléctricas</v>
      </c>
      <c r="J176" s="32" t="str">
        <f>'Invest. IF'!I176</f>
        <v>Negligentes</v>
      </c>
      <c r="K176" s="32" t="str">
        <f>'Invest. IF'!M176</f>
        <v>Marzo</v>
      </c>
      <c r="L176" s="32" t="str">
        <f>'Invest. IF'!N176</f>
        <v>ITA_N-175_R20-SANTA GERTRUDIS_NR-441</v>
      </c>
      <c r="M176" s="32" t="str">
        <f>'Invest. IF'!O176</f>
        <v>Linares</v>
      </c>
      <c r="N176" s="32">
        <f>'Invest. IF'!J176</f>
        <v>254189</v>
      </c>
      <c r="O176" s="32">
        <f>'Invest. IF'!K176</f>
        <v>5983861</v>
      </c>
    </row>
    <row r="177" spans="1:15" x14ac:dyDescent="0.2">
      <c r="A177" s="36">
        <f>'Invest. IF'!A177</f>
        <v>176</v>
      </c>
      <c r="B177" s="21" t="e">
        <f>'Invest. IF'!#REF!</f>
        <v>#REF!</v>
      </c>
      <c r="C177" s="32" t="str">
        <f>'Invest. IF'!B177</f>
        <v>Parral</v>
      </c>
      <c r="D177" s="7">
        <f>'Invest. IF'!C177</f>
        <v>522</v>
      </c>
      <c r="E177" s="32" t="str">
        <f>'Invest. IF'!D177</f>
        <v>Talquita</v>
      </c>
      <c r="F177" s="32" t="str">
        <f>'Invest. IF'!E177</f>
        <v>4.6</v>
      </c>
      <c r="G177" s="32" t="e">
        <f>'Invest. IF'!F177</f>
        <v>#N/A</v>
      </c>
      <c r="H177" s="32" t="str">
        <f>'Invest. IF'!G177</f>
        <v>4.6</v>
      </c>
      <c r="I177" s="32" t="str">
        <f>'Invest. IF'!H177</f>
        <v>Parcelaciones, edificaciones residenciales, industriales u otras en zonas rurales o de interfaz</v>
      </c>
      <c r="J177" s="32" t="str">
        <f>'Invest. IF'!I177</f>
        <v>Negligentes</v>
      </c>
      <c r="K177" s="32" t="str">
        <f>'Invest. IF'!M177</f>
        <v>Marzo</v>
      </c>
      <c r="L177" s="32" t="str">
        <f>'Invest. IF'!N177</f>
        <v>ITA_N-176_R20-TALQUITA_NR-522</v>
      </c>
      <c r="M177" s="32" t="str">
        <f>'Invest. IF'!O177</f>
        <v>Linares</v>
      </c>
      <c r="N177" s="32">
        <f>'Invest. IF'!J177</f>
        <v>248849</v>
      </c>
      <c r="O177" s="32">
        <f>'Invest. IF'!K177</f>
        <v>5984249</v>
      </c>
    </row>
    <row r="178" spans="1:15" x14ac:dyDescent="0.2">
      <c r="A178" s="36">
        <f>'Invest. IF'!A178</f>
        <v>177</v>
      </c>
      <c r="B178" s="21" t="e">
        <f>'Invest. IF'!#REF!</f>
        <v>#REF!</v>
      </c>
      <c r="C178" s="32" t="str">
        <f>'Invest. IF'!B178</f>
        <v>Teno</v>
      </c>
      <c r="D178" s="7">
        <f>'Invest. IF'!C178</f>
        <v>597</v>
      </c>
      <c r="E178" s="32" t="str">
        <f>'Invest. IF'!D178</f>
        <v>Viluco Alto 3</v>
      </c>
      <c r="F178" s="32" t="str">
        <f>'Invest. IF'!E178</f>
        <v>4.8.2</v>
      </c>
      <c r="G178" s="32" t="str">
        <f>'Invest. IF'!F178</f>
        <v>Quema de basura residencial o desechos vegetales</v>
      </c>
      <c r="H178" s="32" t="str">
        <f>'Invest. IF'!G178</f>
        <v>4.8</v>
      </c>
      <c r="I178" s="32" t="str">
        <f>'Invest. IF'!H178</f>
        <v>Otras quemas</v>
      </c>
      <c r="J178" s="32" t="str">
        <f>'Invest. IF'!I178</f>
        <v>Negligentes</v>
      </c>
      <c r="K178" s="32" t="str">
        <f>'Invest. IF'!M178</f>
        <v>Marzo</v>
      </c>
      <c r="L178" s="32" t="str">
        <f>'Invest. IF'!N178</f>
        <v>ITA_N-177_R20-VILUCO ALTO 3_NR-597</v>
      </c>
      <c r="M178" s="32" t="str">
        <f>'Invest. IF'!O178</f>
        <v>Curicó</v>
      </c>
      <c r="N178" s="32">
        <f>'Invest. IF'!J178</f>
        <v>303301</v>
      </c>
      <c r="O178" s="32">
        <f>'Invest. IF'!K178</f>
        <v>6135818</v>
      </c>
    </row>
    <row r="179" spans="1:15" x14ac:dyDescent="0.2">
      <c r="A179" s="36">
        <f>'Invest. IF'!A179</f>
        <v>178</v>
      </c>
      <c r="B179" s="21" t="e">
        <f>'Invest. IF'!#REF!</f>
        <v>#REF!</v>
      </c>
      <c r="C179" s="32" t="str">
        <f>'Invest. IF'!B179</f>
        <v>Teno</v>
      </c>
      <c r="D179" s="7">
        <f>'Invest. IF'!C179</f>
        <v>554</v>
      </c>
      <c r="E179" s="32" t="str">
        <f>'Invest. IF'!D179</f>
        <v>Viluco Alto 2</v>
      </c>
      <c r="F179" s="32" t="str">
        <f>'Invest. IF'!E179</f>
        <v>4.8.2</v>
      </c>
      <c r="G179" s="32" t="str">
        <f>'Invest. IF'!F179</f>
        <v>Quema de basura residencial o desechos vegetales</v>
      </c>
      <c r="H179" s="32" t="str">
        <f>'Invest. IF'!G179</f>
        <v>4.8</v>
      </c>
      <c r="I179" s="32" t="str">
        <f>'Invest. IF'!H179</f>
        <v>Otras quemas</v>
      </c>
      <c r="J179" s="32" t="str">
        <f>'Invest. IF'!I179</f>
        <v>Negligentes</v>
      </c>
      <c r="K179" s="32" t="str">
        <f>'Invest. IF'!M179</f>
        <v>Marzo</v>
      </c>
      <c r="L179" s="32" t="str">
        <f>'Invest. IF'!N179</f>
        <v>ITA_N-178_R20-VILUCO ALTO 2_NR-554</v>
      </c>
      <c r="M179" s="32" t="str">
        <f>'Invest. IF'!O179</f>
        <v>Curicó</v>
      </c>
      <c r="N179" s="32">
        <f>'Invest. IF'!J179</f>
        <v>304512</v>
      </c>
      <c r="O179" s="32">
        <f>'Invest. IF'!K179</f>
        <v>6135469</v>
      </c>
    </row>
    <row r="180" spans="1:15" x14ac:dyDescent="0.2">
      <c r="A180" s="36">
        <f>'Invest. IF'!A180</f>
        <v>179</v>
      </c>
      <c r="B180" s="21" t="e">
        <f>'Invest. IF'!#REF!</f>
        <v>#REF!</v>
      </c>
      <c r="C180" s="32" t="str">
        <f>'Invest. IF'!B180</f>
        <v>Curicó</v>
      </c>
      <c r="D180" s="7">
        <f>'Invest. IF'!C180</f>
        <v>550</v>
      </c>
      <c r="E180" s="32" t="str">
        <f>'Invest. IF'!D180</f>
        <v>San Alfonso</v>
      </c>
      <c r="F180" s="32" t="str">
        <f>'Invest. IF'!E180</f>
        <v>4.10.4</v>
      </c>
      <c r="G180" s="32" t="str">
        <f>'Invest. IF'!F180</f>
        <v>Acciones asociadas a fumar</v>
      </c>
      <c r="H180" s="32" t="str">
        <f>'Invest. IF'!G180</f>
        <v>4.10</v>
      </c>
      <c r="I180" s="32" t="str">
        <f>'Invest. IF'!H180</f>
        <v>Otras causas</v>
      </c>
      <c r="J180" s="32" t="str">
        <f>'Invest. IF'!I180</f>
        <v>Negligentes</v>
      </c>
      <c r="K180" s="32" t="str">
        <f>'Invest. IF'!M180</f>
        <v>Marzo</v>
      </c>
      <c r="L180" s="32" t="str">
        <f>'Invest. IF'!N180</f>
        <v>ITA_N-179_R20-SAN ALFONSO_NR-550</v>
      </c>
      <c r="M180" s="32" t="str">
        <f>'Invest. IF'!O180</f>
        <v>Curicó</v>
      </c>
      <c r="N180" s="32">
        <f>'Invest. IF'!J180</f>
        <v>299286</v>
      </c>
      <c r="O180" s="32">
        <f>'Invest. IF'!K180</f>
        <v>6135437</v>
      </c>
    </row>
    <row r="181" spans="1:15" x14ac:dyDescent="0.2">
      <c r="A181" s="36">
        <f>'Invest. IF'!A181</f>
        <v>180</v>
      </c>
      <c r="B181" s="21" t="e">
        <f>'Invest. IF'!#REF!</f>
        <v>#REF!</v>
      </c>
      <c r="C181" s="32" t="str">
        <f>'Invest. IF'!B181</f>
        <v>Pencahue</v>
      </c>
      <c r="D181" s="7">
        <f>'Invest. IF'!C181</f>
        <v>584</v>
      </c>
      <c r="E181" s="32" t="str">
        <f>'Invest. IF'!D181</f>
        <v>Cerro Quepo</v>
      </c>
      <c r="F181" s="32" t="str">
        <f>'Invest. IF'!E181</f>
        <v>4.10.12</v>
      </c>
      <c r="G181" s="32" t="str">
        <f>'Invest. IF'!F181</f>
        <v>Otras actividades negligentes no clasificadas</v>
      </c>
      <c r="H181" s="32" t="str">
        <f>'Invest. IF'!G181</f>
        <v>4.10</v>
      </c>
      <c r="I181" s="32" t="str">
        <f>'Invest. IF'!H181</f>
        <v>Otras causas</v>
      </c>
      <c r="J181" s="32" t="str">
        <f>'Invest. IF'!I181</f>
        <v>Negligentes</v>
      </c>
      <c r="K181" s="32" t="str">
        <f>'Invest. IF'!M181</f>
        <v>Marzo</v>
      </c>
      <c r="L181" s="32" t="str">
        <f>'Invest. IF'!N181</f>
        <v>ITA_N-180_R20-CERRO QUEPO_NR-584</v>
      </c>
      <c r="M181" s="32" t="str">
        <f>'Invest. IF'!O181</f>
        <v>Talca</v>
      </c>
      <c r="N181" s="32">
        <f>'Invest. IF'!J181</f>
        <v>253704</v>
      </c>
      <c r="O181" s="32">
        <f>'Invest. IF'!K181</f>
        <v>6076689</v>
      </c>
    </row>
    <row r="182" spans="1:15" x14ac:dyDescent="0.2">
      <c r="A182" s="36">
        <f>'Invest. IF'!A182</f>
        <v>181</v>
      </c>
      <c r="B182" s="21" t="e">
        <f>'Invest. IF'!#REF!</f>
        <v>#REF!</v>
      </c>
      <c r="C182" s="32" t="str">
        <f>'Invest. IF'!B182</f>
        <v>Talca</v>
      </c>
      <c r="D182" s="7">
        <f>'Invest. IF'!C182</f>
        <v>608</v>
      </c>
      <c r="E182" s="32" t="str">
        <f>'Invest. IF'!D182</f>
        <v>Cerro de la Virgen 4</v>
      </c>
      <c r="F182" s="32" t="str">
        <f>'Invest. IF'!E182</f>
        <v>4.8.5</v>
      </c>
      <c r="G182" s="32" t="str">
        <f>'Invest. IF'!F182</f>
        <v>Empleo de fuentes de calor en vertederos o basurales</v>
      </c>
      <c r="H182" s="32" t="str">
        <f>'Invest. IF'!G182</f>
        <v>4.8</v>
      </c>
      <c r="I182" s="32" t="str">
        <f>'Invest. IF'!H182</f>
        <v>Otras quemas</v>
      </c>
      <c r="J182" s="32" t="str">
        <f>'Invest. IF'!I182</f>
        <v>Negligentes</v>
      </c>
      <c r="K182" s="32" t="str">
        <f>'Invest. IF'!M182</f>
        <v>Marzo</v>
      </c>
      <c r="L182" s="32" t="str">
        <f>'Invest. IF'!N182</f>
        <v>ITA_N-181_R20-CERRO DE LA VIRGEN 4_NR-608</v>
      </c>
      <c r="M182" s="32" t="str">
        <f>'Invest. IF'!O182</f>
        <v>Talca</v>
      </c>
      <c r="N182" s="32">
        <f>'Invest. IF'!J182</f>
        <v>256727</v>
      </c>
      <c r="O182" s="32">
        <f>'Invest. IF'!K182</f>
        <v>6078284</v>
      </c>
    </row>
    <row r="183" spans="1:15" x14ac:dyDescent="0.2">
      <c r="A183" s="36">
        <f>'Invest. IF'!A183</f>
        <v>182</v>
      </c>
      <c r="B183" s="21" t="e">
        <f>'Invest. IF'!#REF!</f>
        <v>#REF!</v>
      </c>
      <c r="C183" s="32" t="str">
        <f>'Invest. IF'!B183</f>
        <v>Villa Alegre</v>
      </c>
      <c r="D183" s="7">
        <f>'Invest. IF'!C183</f>
        <v>607</v>
      </c>
      <c r="E183" s="32" t="str">
        <f>'Invest. IF'!D183</f>
        <v>El Peumo</v>
      </c>
      <c r="F183" s="32" t="str">
        <f>'Invest. IF'!E183</f>
        <v>4.8.2</v>
      </c>
      <c r="G183" s="32" t="str">
        <f>'Invest. IF'!F183</f>
        <v>Quema de basura residencial o desechos vegetales</v>
      </c>
      <c r="H183" s="32" t="str">
        <f>'Invest. IF'!G183</f>
        <v>4.8</v>
      </c>
      <c r="I183" s="32" t="str">
        <f>'Invest. IF'!H183</f>
        <v>Otras quemas</v>
      </c>
      <c r="J183" s="32" t="str">
        <f>'Invest. IF'!I183</f>
        <v>Negligentes</v>
      </c>
      <c r="K183" s="32" t="str">
        <f>'Invest. IF'!M183</f>
        <v>Marzo</v>
      </c>
      <c r="L183" s="32" t="str">
        <f>'Invest. IF'!N183</f>
        <v>ITA_N-182_R20-EL PEUMO_NR-607</v>
      </c>
      <c r="M183" s="32" t="str">
        <f>'Invest. IF'!O183</f>
        <v>Linares</v>
      </c>
      <c r="N183" s="32">
        <f>'Invest. IF'!J183</f>
        <v>253342</v>
      </c>
      <c r="O183" s="32">
        <f>'Invest. IF'!K183</f>
        <v>6046113</v>
      </c>
    </row>
    <row r="184" spans="1:15" x14ac:dyDescent="0.2">
      <c r="A184" s="36">
        <f>'Invest. IF'!A184</f>
        <v>183</v>
      </c>
      <c r="B184" s="21" t="e">
        <f>'Invest. IF'!#REF!</f>
        <v>#REF!</v>
      </c>
      <c r="C184" s="32" t="str">
        <f>'Invest. IF'!B184</f>
        <v>Retiro</v>
      </c>
      <c r="D184" s="7">
        <f>'Invest. IF'!C184</f>
        <v>609</v>
      </c>
      <c r="E184" s="32" t="str">
        <f>'Invest. IF'!D184</f>
        <v>Higuerillas</v>
      </c>
      <c r="F184" s="32" t="str">
        <f>'Invest. IF'!E184</f>
        <v>4.6.5</v>
      </c>
      <c r="G184" s="32" t="str">
        <f>'Invest. IF'!F184</f>
        <v>Empleo de fuentes de calor en actividades relacionadas a parcelaciones (asados, tijerales, fogatas, otros)</v>
      </c>
      <c r="H184" s="32" t="str">
        <f>'Invest. IF'!G184</f>
        <v>4.6</v>
      </c>
      <c r="I184" s="32" t="str">
        <f>'Invest. IF'!H184</f>
        <v>Parcelaciones, edificaciones residenciales, industriales u otras en zonas rurales o de interfaz</v>
      </c>
      <c r="J184" s="32" t="str">
        <f>'Invest. IF'!I184</f>
        <v>Negligentes</v>
      </c>
      <c r="K184" s="32" t="str">
        <f>'Invest. IF'!M184</f>
        <v>Marzo</v>
      </c>
      <c r="L184" s="32" t="str">
        <f>'Invest. IF'!N184</f>
        <v>ITA_N-183_R20-HIGUERILLAS_NR-609</v>
      </c>
      <c r="M184" s="32" t="str">
        <f>'Invest. IF'!O184</f>
        <v>Linares</v>
      </c>
      <c r="N184" s="32">
        <f>'Invest. IF'!J184</f>
        <v>241078</v>
      </c>
      <c r="O184" s="32">
        <f>'Invest. IF'!K184</f>
        <v>6018031</v>
      </c>
    </row>
    <row r="185" spans="1:15" x14ac:dyDescent="0.2">
      <c r="A185" s="36">
        <f>'Invest. IF'!A185</f>
        <v>184</v>
      </c>
      <c r="B185" s="21" t="e">
        <f>'Invest. IF'!#REF!</f>
        <v>#REF!</v>
      </c>
      <c r="C185" s="32" t="str">
        <f>'Invest. IF'!B185</f>
        <v>San Rafael</v>
      </c>
      <c r="D185" s="7">
        <f>'Invest. IF'!C185</f>
        <v>606</v>
      </c>
      <c r="E185" s="32" t="str">
        <f>'Invest. IF'!D185</f>
        <v>San Sebastián</v>
      </c>
      <c r="F185" s="32" t="str">
        <f>'Invest. IF'!E185</f>
        <v>4.9.3</v>
      </c>
      <c r="G185" s="32" t="str">
        <f>'Invest. IF'!F185</f>
        <v>Corte de conductor eléctrico por caída o fatiga de estructura de tendido eléctrico o postación</v>
      </c>
      <c r="H185" s="32" t="str">
        <f>'Invest. IF'!G185</f>
        <v>4.9</v>
      </c>
      <c r="I185" s="32" t="str">
        <f>'Invest. IF'!H185</f>
        <v>Líneas eléctricas</v>
      </c>
      <c r="J185" s="32" t="str">
        <f>'Invest. IF'!I185</f>
        <v>Negligentes</v>
      </c>
      <c r="K185" s="32" t="str">
        <f>'Invest. IF'!M185</f>
        <v>Marzo</v>
      </c>
      <c r="L185" s="32" t="str">
        <f>'Invest. IF'!N185</f>
        <v>ITA_N-184_R20-SAN SEBASTIAN_NR-606</v>
      </c>
      <c r="M185" s="32" t="str">
        <f>'Invest. IF'!O185</f>
        <v>Talca</v>
      </c>
      <c r="N185" s="32">
        <f>'Invest. IF'!J185</f>
        <v>268198</v>
      </c>
      <c r="O185" s="32">
        <f>'Invest. IF'!K185</f>
        <v>6092679</v>
      </c>
    </row>
    <row r="186" spans="1:15" x14ac:dyDescent="0.2">
      <c r="A186" s="36">
        <f>'Invest. IF'!A186</f>
        <v>185</v>
      </c>
      <c r="B186" s="21" t="e">
        <f>'Invest. IF'!#REF!</f>
        <v>#REF!</v>
      </c>
      <c r="C186" s="32" t="str">
        <f>'Invest. IF'!B186</f>
        <v>San Rafael</v>
      </c>
      <c r="D186" s="7">
        <f>'Invest. IF'!C186</f>
        <v>596</v>
      </c>
      <c r="E186" s="32" t="str">
        <f>'Invest. IF'!D186</f>
        <v>Los Naranjos</v>
      </c>
      <c r="F186" s="32" t="str">
        <f>'Invest. IF'!E186</f>
        <v>5.1.1</v>
      </c>
      <c r="G186" s="32" t="str">
        <f>'Invest. IF'!F186</f>
        <v>Se investiga pero no es posible establecer la causa</v>
      </c>
      <c r="H186" s="32" t="str">
        <f>'Invest. IF'!G186</f>
        <v>5.1</v>
      </c>
      <c r="I186" s="32" t="str">
        <f>'Invest. IF'!H186</f>
        <v>Incendios de causa indeterminada</v>
      </c>
      <c r="J186" s="32" t="str">
        <f>'Invest. IF'!I186</f>
        <v>Indeterminadas</v>
      </c>
      <c r="K186" s="32" t="str">
        <f>'Invest. IF'!M186</f>
        <v>Marzo</v>
      </c>
      <c r="L186" s="32" t="str">
        <f>'Invest. IF'!N186</f>
        <v>ITA_N-185_R20-LOS NARANJOS_NR-596</v>
      </c>
      <c r="M186" s="32" t="str">
        <f>'Invest. IF'!O186</f>
        <v>Talca</v>
      </c>
      <c r="N186" s="32">
        <f>'Invest. IF'!J186</f>
        <v>271902</v>
      </c>
      <c r="O186" s="32">
        <f>'Invest. IF'!K186</f>
        <v>6091676</v>
      </c>
    </row>
    <row r="187" spans="1:15" x14ac:dyDescent="0.2">
      <c r="A187" s="36">
        <f>'Invest. IF'!A187</f>
        <v>186</v>
      </c>
      <c r="B187" s="21" t="e">
        <f>'Invest. IF'!#REF!</f>
        <v>#REF!</v>
      </c>
      <c r="C187" s="32" t="str">
        <f>'Invest. IF'!B187</f>
        <v xml:space="preserve">San Clemente </v>
      </c>
      <c r="D187" s="7">
        <f>'Invest. IF'!C187</f>
        <v>421</v>
      </c>
      <c r="E187" s="32" t="str">
        <f>'Invest. IF'!D187</f>
        <v>San Manuel</v>
      </c>
      <c r="F187" s="32" t="str">
        <f>'Invest. IF'!E187</f>
        <v>4.11.3</v>
      </c>
      <c r="G187" s="32" t="str">
        <f>'Invest. IF'!F187</f>
        <v>Empleo de fuentes de calor en faena de extracción y/o confección de leña no industrial</v>
      </c>
      <c r="H187" s="32" t="str">
        <f>'Invest. IF'!G187</f>
        <v>4.11</v>
      </c>
      <c r="I187" s="32" t="str">
        <f>'Invest. IF'!H187</f>
        <v>Producción y/o extracción de productos y/o derivados del bosque</v>
      </c>
      <c r="J187" s="32" t="str">
        <f>'Invest. IF'!I187</f>
        <v>Negligentes</v>
      </c>
      <c r="K187" s="32" t="str">
        <f>'Invest. IF'!M187</f>
        <v>Marzo</v>
      </c>
      <c r="L187" s="32" t="str">
        <f>'Invest. IF'!N187</f>
        <v>ITA_N-186_R20-SAN MANUEL_NR-421</v>
      </c>
      <c r="M187" s="32" t="str">
        <f>'Invest. IF'!O187</f>
        <v>Talca</v>
      </c>
      <c r="N187" s="32">
        <f>'Invest. IF'!J187</f>
        <v>270236</v>
      </c>
      <c r="O187" s="32">
        <f>'Invest. IF'!K187</f>
        <v>6060599</v>
      </c>
    </row>
    <row r="188" spans="1:15" x14ac:dyDescent="0.2">
      <c r="A188" s="36">
        <f>'Invest. IF'!A188</f>
        <v>187</v>
      </c>
      <c r="B188" s="21" t="e">
        <f>'Invest. IF'!#REF!</f>
        <v>#REF!</v>
      </c>
      <c r="C188" s="32" t="str">
        <f>'Invest. IF'!B188</f>
        <v>Talca</v>
      </c>
      <c r="D188" s="7">
        <f>'Invest. IF'!C188</f>
        <v>624</v>
      </c>
      <c r="E188" s="32" t="str">
        <f>'Invest. IF'!D188</f>
        <v>Palmira Bajo</v>
      </c>
      <c r="F188" s="32" t="str">
        <f>'Invest. IF'!E188</f>
        <v>4.2.1</v>
      </c>
      <c r="G188" s="32" t="str">
        <f>'Invest. IF'!F188</f>
        <v>Quema no avisada de desechos agrícolas que se propaga libre y sin control</v>
      </c>
      <c r="H188" s="32" t="str">
        <f>'Invest. IF'!G188</f>
        <v>4.2</v>
      </c>
      <c r="I188" s="32" t="str">
        <f>'Invest. IF'!H188</f>
        <v>Faenas agrícolas y pecuarias</v>
      </c>
      <c r="J188" s="32" t="str">
        <f>'Invest. IF'!I188</f>
        <v>Negligentes</v>
      </c>
      <c r="K188" s="32" t="str">
        <f>'Invest. IF'!M188</f>
        <v>Marzo</v>
      </c>
      <c r="L188" s="32" t="str">
        <f>'Invest. IF'!N188</f>
        <v>ITA_N-187_R20-PALMIRA BAJO_NR-624</v>
      </c>
      <c r="M188" s="32" t="str">
        <f>'Invest. IF'!O188</f>
        <v>Talca</v>
      </c>
      <c r="N188" s="32">
        <f>'Invest. IF'!J188</f>
        <v>265253</v>
      </c>
      <c r="O188" s="32">
        <f>'Invest. IF'!K188</f>
        <v>6069923</v>
      </c>
    </row>
    <row r="189" spans="1:15" x14ac:dyDescent="0.2">
      <c r="A189" s="36">
        <f>'Invest. IF'!A189</f>
        <v>188</v>
      </c>
      <c r="B189" s="21" t="e">
        <f>'Invest. IF'!#REF!</f>
        <v>#REF!</v>
      </c>
      <c r="C189" s="32" t="str">
        <f>'Invest. IF'!B189</f>
        <v>San Javier</v>
      </c>
      <c r="D189" s="7">
        <f>'Invest. IF'!C189</f>
        <v>571</v>
      </c>
      <c r="E189" s="32" t="str">
        <f>'Invest. IF'!D189</f>
        <v>Orilla de Maule</v>
      </c>
      <c r="F189" s="32" t="str">
        <f>'Invest. IF'!E189</f>
        <v>4.5.1</v>
      </c>
      <c r="G189" s="32" t="str">
        <f>'Invest. IF'!F189</f>
        <v>Rebrote de incendio anterior, declarado extinto</v>
      </c>
      <c r="H189" s="32" t="str">
        <f>'Invest. IF'!G189</f>
        <v>4.5</v>
      </c>
      <c r="I189" s="32" t="str">
        <f>'Invest. IF'!H189</f>
        <v>Actividades de control y extinción de incendios forestales</v>
      </c>
      <c r="J189" s="32" t="str">
        <f>'Invest. IF'!I189</f>
        <v>Negligentes</v>
      </c>
      <c r="K189" s="32" t="str">
        <f>'Invest. IF'!M189</f>
        <v>Marzo</v>
      </c>
      <c r="L189" s="32" t="str">
        <f>'Invest. IF'!N189</f>
        <v>ITA_N-188_R20-ORILLA DE MAULE_NR-571</v>
      </c>
      <c r="M189" s="32" t="str">
        <f>'Invest. IF'!O189</f>
        <v>Linares</v>
      </c>
      <c r="N189" s="32">
        <f>'Invest. IF'!J189</f>
        <v>257766</v>
      </c>
      <c r="O189" s="32">
        <f>'Invest. IF'!K189</f>
        <v>6061630</v>
      </c>
    </row>
    <row r="190" spans="1:15" x14ac:dyDescent="0.2">
      <c r="A190" s="36">
        <f>'Invest. IF'!A190</f>
        <v>189</v>
      </c>
      <c r="B190" s="21" t="e">
        <f>'Invest. IF'!#REF!</f>
        <v>#REF!</v>
      </c>
      <c r="C190" s="32" t="str">
        <f>'Invest. IF'!B190</f>
        <v>San Javier</v>
      </c>
      <c r="D190" s="7">
        <f>'Invest. IF'!C190</f>
        <v>177</v>
      </c>
      <c r="E190" s="32" t="str">
        <f>'Invest. IF'!D190</f>
        <v>Orilla de Maule 2</v>
      </c>
      <c r="F190" s="32" t="str">
        <f>'Invest. IF'!E190</f>
        <v>4.11.3</v>
      </c>
      <c r="G190" s="32" t="str">
        <f>'Invest. IF'!F190</f>
        <v>Empleo de fuentes de calor en faena de extracción y/o confección de leña no industrial</v>
      </c>
      <c r="H190" s="32" t="str">
        <f>'Invest. IF'!G190</f>
        <v>4.11</v>
      </c>
      <c r="I190" s="32" t="str">
        <f>'Invest. IF'!H190</f>
        <v>Producción y/o extracción de productos y/o derivados del bosque</v>
      </c>
      <c r="J190" s="32" t="str">
        <f>'Invest. IF'!I190</f>
        <v>Negligentes</v>
      </c>
      <c r="K190" s="32" t="str">
        <f>'Invest. IF'!M190</f>
        <v>Marzo</v>
      </c>
      <c r="L190" s="32" t="str">
        <f>'Invest. IF'!N190</f>
        <v>ITA_N-189_R20-ORILLA DE MAULE 2_NR-177</v>
      </c>
      <c r="M190" s="32" t="str">
        <f>'Invest. IF'!O190</f>
        <v>Linares</v>
      </c>
      <c r="N190" s="32">
        <f>'Invest. IF'!J190</f>
        <v>260303</v>
      </c>
      <c r="O190" s="32">
        <f>'Invest. IF'!K190</f>
        <v>6060187</v>
      </c>
    </row>
    <row r="191" spans="1:15" x14ac:dyDescent="0.2">
      <c r="A191" s="36">
        <f>'Invest. IF'!A191</f>
        <v>190</v>
      </c>
      <c r="B191" s="21" t="e">
        <f>'Invest. IF'!#REF!</f>
        <v>#REF!</v>
      </c>
      <c r="C191" s="32" t="str">
        <f>'Invest. IF'!B191</f>
        <v>San Javier</v>
      </c>
      <c r="D191" s="7">
        <f>'Invest. IF'!C191</f>
        <v>193</v>
      </c>
      <c r="E191" s="32" t="str">
        <f>'Invest. IF'!D191</f>
        <v>Orilla de Maule 3</v>
      </c>
      <c r="F191" s="32" t="str">
        <f>'Invest. IF'!E191</f>
        <v>4.10.12</v>
      </c>
      <c r="G191" s="32" t="str">
        <f>'Invest. IF'!F191</f>
        <v>Otras actividades negligentes no clasificadas</v>
      </c>
      <c r="H191" s="32" t="str">
        <f>'Invest. IF'!G191</f>
        <v>4.10</v>
      </c>
      <c r="I191" s="32" t="str">
        <f>'Invest. IF'!H191</f>
        <v>Otras causas</v>
      </c>
      <c r="J191" s="32" t="str">
        <f>'Invest. IF'!I191</f>
        <v>Negligentes</v>
      </c>
      <c r="K191" s="32" t="str">
        <f>'Invest. IF'!M191</f>
        <v>Marzo</v>
      </c>
      <c r="L191" s="32" t="str">
        <f>'Invest. IF'!N191</f>
        <v>ITA_N-190_R20-ORILLA DE MAULE 3_NR-193</v>
      </c>
      <c r="M191" s="32" t="str">
        <f>'Invest. IF'!O191</f>
        <v>Linares</v>
      </c>
      <c r="N191" s="32">
        <f>'Invest. IF'!J191</f>
        <v>261276</v>
      </c>
      <c r="O191" s="32">
        <f>'Invest. IF'!K191</f>
        <v>6060032</v>
      </c>
    </row>
    <row r="192" spans="1:15" x14ac:dyDescent="0.2">
      <c r="A192" s="36">
        <f>'Invest. IF'!A192</f>
        <v>191</v>
      </c>
      <c r="B192" s="21" t="e">
        <f>'Invest. IF'!#REF!</f>
        <v>#REF!</v>
      </c>
      <c r="C192" s="32" t="str">
        <f>'Invest. IF'!B192</f>
        <v>San Javier</v>
      </c>
      <c r="D192" s="7">
        <f>'Invest. IF'!C192</f>
        <v>395</v>
      </c>
      <c r="E192" s="32" t="str">
        <f>'Invest. IF'!D192</f>
        <v>Orilla de Maule 4</v>
      </c>
      <c r="F192" s="32" t="str">
        <f>'Invest. IF'!E192</f>
        <v>2.1.1</v>
      </c>
      <c r="G192" s="32" t="str">
        <f>'Invest. IF'!F192</f>
        <v>Provocado, no se identifica la motivación</v>
      </c>
      <c r="H192" s="32" t="str">
        <f>'Invest. IF'!G192</f>
        <v>2.1</v>
      </c>
      <c r="I192" s="32" t="str">
        <f>'Invest. IF'!H192</f>
        <v>Incendios intencionales</v>
      </c>
      <c r="J192" s="32" t="str">
        <f>'Invest. IF'!I192</f>
        <v>Intencionales</v>
      </c>
      <c r="K192" s="32" t="str">
        <f>'Invest. IF'!M192</f>
        <v>Marzo</v>
      </c>
      <c r="L192" s="32" t="str">
        <f>'Invest. IF'!N192</f>
        <v>ITA_N-191_R20-ORILLA DE MAULE 4_NR-395</v>
      </c>
      <c r="M192" s="32" t="str">
        <f>'Invest. IF'!O192</f>
        <v>Linares</v>
      </c>
      <c r="N192" s="32">
        <f>'Invest. IF'!J192</f>
        <v>259993</v>
      </c>
      <c r="O192" s="32">
        <f>'Invest. IF'!K192</f>
        <v>6060373</v>
      </c>
    </row>
    <row r="193" spans="1:15" x14ac:dyDescent="0.2">
      <c r="A193" s="36">
        <f>'Invest. IF'!A193</f>
        <v>192</v>
      </c>
      <c r="B193" s="21" t="e">
        <f>'Invest. IF'!#REF!</f>
        <v>#REF!</v>
      </c>
      <c r="C193" s="32" t="str">
        <f>'Invest. IF'!B193</f>
        <v>San Javier</v>
      </c>
      <c r="D193" s="7">
        <f>'Invest. IF'!C193</f>
        <v>562</v>
      </c>
      <c r="E193" s="32" t="str">
        <f>'Invest. IF'!D193</f>
        <v>El Guapi</v>
      </c>
      <c r="F193" s="32" t="str">
        <f>'Invest. IF'!E193</f>
        <v>2.1.1</v>
      </c>
      <c r="G193" s="32" t="str">
        <f>'Invest. IF'!F193</f>
        <v>Provocado, no se identifica la motivación</v>
      </c>
      <c r="H193" s="32" t="str">
        <f>'Invest. IF'!G193</f>
        <v>2.1</v>
      </c>
      <c r="I193" s="32" t="str">
        <f>'Invest. IF'!H193</f>
        <v>Incendios intencionales</v>
      </c>
      <c r="J193" s="32" t="str">
        <f>'Invest. IF'!I193</f>
        <v>Intencionales</v>
      </c>
      <c r="K193" s="32" t="str">
        <f>'Invest. IF'!M193</f>
        <v>Marzo</v>
      </c>
      <c r="L193" s="32" t="str">
        <f>'Invest. IF'!N193</f>
        <v>ITA_N-192_R20-EL GUAPI_NR-562</v>
      </c>
      <c r="M193" s="32" t="str">
        <f>'Invest. IF'!O193</f>
        <v>Linares</v>
      </c>
      <c r="N193" s="32">
        <f>'Invest. IF'!J193</f>
        <v>258176</v>
      </c>
      <c r="O193" s="32">
        <f>'Invest. IF'!K193</f>
        <v>6061441</v>
      </c>
    </row>
    <row r="194" spans="1:15" x14ac:dyDescent="0.2">
      <c r="A194" s="36">
        <f>'Invest. IF'!A194</f>
        <v>193</v>
      </c>
      <c r="B194" s="21" t="e">
        <f>'Invest. IF'!#REF!</f>
        <v>#REF!</v>
      </c>
      <c r="C194" s="32" t="str">
        <f>'Invest. IF'!B194</f>
        <v>Curicó</v>
      </c>
      <c r="D194" s="7">
        <f>'Invest. IF'!C194</f>
        <v>623</v>
      </c>
      <c r="E194" s="32" t="str">
        <f>'Invest. IF'!D194</f>
        <v>San Alfonso 2</v>
      </c>
      <c r="F194" s="32" t="str">
        <f>'Invest. IF'!E194</f>
        <v>4.9.1</v>
      </c>
      <c r="G194" s="32" t="str">
        <f>'Invest. IF'!F194</f>
        <v>Combustión de la vegetación, producto del contacto o proximidad con el tendido eléctrico</v>
      </c>
      <c r="H194" s="32" t="str">
        <f>'Invest. IF'!G194</f>
        <v>4.9</v>
      </c>
      <c r="I194" s="32" t="str">
        <f>'Invest. IF'!H194</f>
        <v>Líneas eléctricas</v>
      </c>
      <c r="J194" s="32" t="str">
        <f>'Invest. IF'!I194</f>
        <v>Negligentes</v>
      </c>
      <c r="K194" s="32" t="str">
        <f>'Invest. IF'!M194</f>
        <v>Marzo</v>
      </c>
      <c r="L194" s="32" t="str">
        <f>'Invest. IF'!N194</f>
        <v>ITA_N-193_R20-SAN ALFONSO 2_NR-623</v>
      </c>
      <c r="M194" s="32" t="str">
        <f>'Invest. IF'!O194</f>
        <v>Curicó</v>
      </c>
      <c r="N194" s="32">
        <f>'Invest. IF'!J194</f>
        <v>300278</v>
      </c>
      <c r="O194" s="32">
        <f>'Invest. IF'!K194</f>
        <v>6135620</v>
      </c>
    </row>
    <row r="195" spans="1:15" x14ac:dyDescent="0.2">
      <c r="A195" s="36">
        <f>'Invest. IF'!A195</f>
        <v>194</v>
      </c>
      <c r="B195" s="21" t="e">
        <f>'Invest. IF'!#REF!</f>
        <v>#REF!</v>
      </c>
      <c r="C195" s="32" t="str">
        <f>'Invest. IF'!B195</f>
        <v>Curicó</v>
      </c>
      <c r="D195" s="7">
        <f>'Invest. IF'!C195</f>
        <v>615</v>
      </c>
      <c r="E195" s="32" t="str">
        <f>'Invest. IF'!D195</f>
        <v>Maquehua 3</v>
      </c>
      <c r="F195" s="32" t="str">
        <f>'Invest. IF'!E195</f>
        <v>4.10.10</v>
      </c>
      <c r="G195" s="32" t="str">
        <f>'Invest. IF'!F195</f>
        <v>Empleo de fuentes de calor para eliminar recubrimiento de  conductores eléctricos</v>
      </c>
      <c r="H195" s="32" t="str">
        <f>'Invest. IF'!G195</f>
        <v>4.10</v>
      </c>
      <c r="I195" s="32" t="str">
        <f>'Invest. IF'!H195</f>
        <v>Otras causas</v>
      </c>
      <c r="J195" s="32" t="str">
        <f>'Invest. IF'!I195</f>
        <v>Negligentes</v>
      </c>
      <c r="K195" s="32" t="str">
        <f>'Invest. IF'!M195</f>
        <v>Marzo</v>
      </c>
      <c r="L195" s="32" t="str">
        <f>'Invest. IF'!N195</f>
        <v>ITA_N-194_R20-MAQUEHUA 3_NR-615</v>
      </c>
      <c r="M195" s="32" t="str">
        <f>'Invest. IF'!O195</f>
        <v>Curicó</v>
      </c>
      <c r="N195" s="32">
        <f>'Invest. IF'!J195</f>
        <v>295037</v>
      </c>
      <c r="O195" s="32">
        <f>'Invest. IF'!K195</f>
        <v>6123482</v>
      </c>
    </row>
    <row r="196" spans="1:15" x14ac:dyDescent="0.2">
      <c r="A196" s="36">
        <f>'Invest. IF'!A196</f>
        <v>195</v>
      </c>
      <c r="B196" s="21" t="e">
        <f>'Invest. IF'!#REF!</f>
        <v>#REF!</v>
      </c>
      <c r="C196" s="32" t="str">
        <f>'Invest. IF'!B196</f>
        <v>Curicó</v>
      </c>
      <c r="D196" s="7">
        <f>'Invest. IF'!C196</f>
        <v>626</v>
      </c>
      <c r="E196" s="32" t="str">
        <f>'Invest. IF'!D196</f>
        <v>Los Castaños</v>
      </c>
      <c r="F196" s="32" t="str">
        <f>'Invest. IF'!E196</f>
        <v>4.8.2</v>
      </c>
      <c r="G196" s="32" t="str">
        <f>'Invest. IF'!F196</f>
        <v>Quema de basura residencial o desechos vegetales</v>
      </c>
      <c r="H196" s="32" t="str">
        <f>'Invest. IF'!G196</f>
        <v>4.8</v>
      </c>
      <c r="I196" s="32" t="str">
        <f>'Invest. IF'!H196</f>
        <v>Otras quemas</v>
      </c>
      <c r="J196" s="32" t="str">
        <f>'Invest. IF'!I196</f>
        <v>Negligentes</v>
      </c>
      <c r="K196" s="32" t="str">
        <f>'Invest. IF'!M196</f>
        <v>Marzo</v>
      </c>
      <c r="L196" s="32" t="str">
        <f>'Invest. IF'!N196</f>
        <v>ITA_N-195_R20-LOS CASTAÑOS_NR-623</v>
      </c>
      <c r="M196" s="32" t="str">
        <f>'Invest. IF'!O196</f>
        <v>Curicó</v>
      </c>
      <c r="N196" s="32">
        <f>'Invest. IF'!J196</f>
        <v>298522</v>
      </c>
      <c r="O196" s="32">
        <f>'Invest. IF'!K196</f>
        <v>6115202</v>
      </c>
    </row>
    <row r="197" spans="1:15" x14ac:dyDescent="0.2">
      <c r="A197" s="36">
        <f>'Invest. IF'!A197</f>
        <v>196</v>
      </c>
      <c r="B197" s="21" t="e">
        <f>'Invest. IF'!#REF!</f>
        <v>#REF!</v>
      </c>
      <c r="C197" s="32" t="str">
        <f>'Invest. IF'!B197</f>
        <v xml:space="preserve">San Clemente </v>
      </c>
      <c r="D197" s="7">
        <f>'Invest. IF'!C197</f>
        <v>621</v>
      </c>
      <c r="E197" s="32" t="str">
        <f>'Invest. IF'!D197</f>
        <v>Las Delicas</v>
      </c>
      <c r="F197" s="32" t="str">
        <f>'Invest. IF'!E197</f>
        <v>4.2.1</v>
      </c>
      <c r="G197" s="32" t="str">
        <f>'Invest. IF'!F197</f>
        <v>Quema no avisada de desechos agrícolas que se propaga libre y sin control</v>
      </c>
      <c r="H197" s="32" t="str">
        <f>'Invest. IF'!G197</f>
        <v>4.2</v>
      </c>
      <c r="I197" s="32" t="str">
        <f>'Invest. IF'!H197</f>
        <v>Faenas agrícolas y pecuarias</v>
      </c>
      <c r="J197" s="32" t="str">
        <f>'Invest. IF'!I197</f>
        <v>Negligentes</v>
      </c>
      <c r="K197" s="32" t="str">
        <f>'Invest. IF'!M197</f>
        <v>Marzo</v>
      </c>
      <c r="L197" s="32" t="str">
        <f>'Invest. IF'!N197</f>
        <v>ITA_N-196_R20-LAS DELICIAS_NR-621</v>
      </c>
      <c r="M197" s="32" t="str">
        <f>'Invest. IF'!O197</f>
        <v>Talca</v>
      </c>
      <c r="N197" s="32">
        <f>'Invest. IF'!J197</f>
        <v>280399</v>
      </c>
      <c r="O197" s="32">
        <f>'Invest. IF'!K197</f>
        <v>6069889</v>
      </c>
    </row>
    <row r="198" spans="1:15" x14ac:dyDescent="0.2">
      <c r="A198" s="36">
        <f>'Invest. IF'!A198</f>
        <v>197</v>
      </c>
      <c r="B198" s="21" t="e">
        <f>'Invest. IF'!#REF!</f>
        <v>#REF!</v>
      </c>
      <c r="C198" s="32" t="str">
        <f>'Invest. IF'!B198</f>
        <v>San Rafael</v>
      </c>
      <c r="D198" s="7">
        <f>'Invest. IF'!C198</f>
        <v>499</v>
      </c>
      <c r="E198" s="32" t="str">
        <f>'Invest. IF'!D198</f>
        <v>Pangue</v>
      </c>
      <c r="F198" s="32" t="str">
        <f>'Invest. IF'!E198</f>
        <v>4.2.8</v>
      </c>
      <c r="G198" s="32" t="str">
        <f>'Invest. IF'!F198</f>
        <v>Otras causas negligentes no clasificadas en faenas agrícolas y pecuarias</v>
      </c>
      <c r="H198" s="32" t="str">
        <f>'Invest. IF'!G198</f>
        <v>4.2</v>
      </c>
      <c r="I198" s="32" t="str">
        <f>'Invest. IF'!H198</f>
        <v>Faenas agrícolas y pecuarias</v>
      </c>
      <c r="J198" s="32" t="str">
        <f>'Invest. IF'!I198</f>
        <v>Negligentes</v>
      </c>
      <c r="K198" s="32" t="str">
        <f>'Invest. IF'!M198</f>
        <v>Marzo</v>
      </c>
      <c r="L198" s="32" t="str">
        <f>'Invest. IF'!N198</f>
        <v>ITA_N-197_R20-PANGUE_NR-499</v>
      </c>
      <c r="M198" s="32" t="str">
        <f>'Invest. IF'!O198</f>
        <v>Talca</v>
      </c>
      <c r="N198" s="32">
        <f>'Invest. IF'!J198</f>
        <v>279826</v>
      </c>
      <c r="O198" s="32">
        <f>'Invest. IF'!K198</f>
        <v>6088987</v>
      </c>
    </row>
    <row r="199" spans="1:15" x14ac:dyDescent="0.2">
      <c r="A199" s="36">
        <f>'Invest. IF'!A199</f>
        <v>198</v>
      </c>
      <c r="B199" s="21" t="e">
        <f>'Invest. IF'!#REF!</f>
        <v>#REF!</v>
      </c>
      <c r="C199" s="32" t="str">
        <f>'Invest. IF'!B199</f>
        <v>San Rafael</v>
      </c>
      <c r="D199" s="7">
        <f>'Invest. IF'!C199</f>
        <v>396</v>
      </c>
      <c r="E199" s="32" t="str">
        <f>'Invest. IF'!D199</f>
        <v xml:space="preserve">Santa Irma </v>
      </c>
      <c r="F199" s="32" t="str">
        <f>'Invest. IF'!E199</f>
        <v>4.8.2</v>
      </c>
      <c r="G199" s="32" t="str">
        <f>'Invest. IF'!F199</f>
        <v>Quema de basura residencial o desechos vegetales</v>
      </c>
      <c r="H199" s="32" t="str">
        <f>'Invest. IF'!G199</f>
        <v>4.8</v>
      </c>
      <c r="I199" s="32" t="str">
        <f>'Invest. IF'!H199</f>
        <v>Otras quemas</v>
      </c>
      <c r="J199" s="32" t="str">
        <f>'Invest. IF'!I199</f>
        <v>Negligentes</v>
      </c>
      <c r="K199" s="32" t="str">
        <f>'Invest. IF'!M199</f>
        <v>Marzo</v>
      </c>
      <c r="L199" s="32" t="str">
        <f>'Invest. IF'!N199</f>
        <v>ITA_N-198_R20-SANTA IRMA_NR-396</v>
      </c>
      <c r="M199" s="32" t="str">
        <f>'Invest. IF'!O199</f>
        <v>Talca</v>
      </c>
      <c r="N199" s="32">
        <f>'Invest. IF'!J199</f>
        <v>269711</v>
      </c>
      <c r="O199" s="32">
        <f>'Invest. IF'!K199</f>
        <v>6088676</v>
      </c>
    </row>
    <row r="200" spans="1:15" x14ac:dyDescent="0.2">
      <c r="A200" s="36">
        <f>'Invest. IF'!A200</f>
        <v>199</v>
      </c>
      <c r="B200" s="21" t="e">
        <f>'Invest. IF'!#REF!</f>
        <v>#REF!</v>
      </c>
      <c r="C200" s="32" t="str">
        <f>'Invest. IF'!B200</f>
        <v>Maule</v>
      </c>
      <c r="D200" s="7">
        <f>'Invest. IF'!C200</f>
        <v>538</v>
      </c>
      <c r="E200" s="32" t="str">
        <f>'Invest. IF'!D200</f>
        <v>Cantera de Numpay</v>
      </c>
      <c r="F200" s="32" t="str">
        <f>'Invest. IF'!E200</f>
        <v>2.1.1</v>
      </c>
      <c r="G200" s="32" t="str">
        <f>'Invest. IF'!F200</f>
        <v>Provocado, no se identifica la motivación</v>
      </c>
      <c r="H200" s="32" t="str">
        <f>'Invest. IF'!G200</f>
        <v>2.1</v>
      </c>
      <c r="I200" s="32" t="str">
        <f>'Invest. IF'!H200</f>
        <v>Incendios intencionales</v>
      </c>
      <c r="J200" s="32" t="str">
        <f>'Invest. IF'!I200</f>
        <v>Intencionales</v>
      </c>
      <c r="K200" s="32" t="str">
        <f>'Invest. IF'!M200</f>
        <v>Marzo</v>
      </c>
      <c r="L200" s="32" t="str">
        <f>'Invest. IF'!N200</f>
        <v>ITA_N-199_R20-CANTERA DE NUMPAY_NR-538</v>
      </c>
      <c r="M200" s="32" t="str">
        <f>'Invest. IF'!O200</f>
        <v>Talca</v>
      </c>
      <c r="N200" s="32">
        <f>'Invest. IF'!J200</f>
        <v>254026</v>
      </c>
      <c r="O200" s="32">
        <f>'Invest. IF'!K200</f>
        <v>6068190</v>
      </c>
    </row>
    <row r="201" spans="1:15" x14ac:dyDescent="0.2">
      <c r="A201" s="36">
        <f>'Invest. IF'!A201</f>
        <v>200</v>
      </c>
      <c r="B201" s="21" t="e">
        <f>'Invest. IF'!#REF!</f>
        <v>#REF!</v>
      </c>
      <c r="C201" s="32" t="str">
        <f>'Invest. IF'!B201</f>
        <v>San Javier</v>
      </c>
      <c r="D201" s="7">
        <f>'Invest. IF'!C201</f>
        <v>432</v>
      </c>
      <c r="E201" s="32" t="str">
        <f>'Invest. IF'!D201</f>
        <v>Santa Rosa/ Pueblo Chico</v>
      </c>
      <c r="F201" s="32" t="str">
        <f>'Invest. IF'!E201</f>
        <v>5.1.1</v>
      </c>
      <c r="G201" s="32" t="str">
        <f>'Invest. IF'!F201</f>
        <v>Se investiga pero no es posible establecer la causa</v>
      </c>
      <c r="H201" s="32" t="str">
        <f>'Invest. IF'!G201</f>
        <v>5.1</v>
      </c>
      <c r="I201" s="32" t="str">
        <f>'Invest. IF'!H201</f>
        <v>Incendios de causa indeterminada</v>
      </c>
      <c r="J201" s="32" t="str">
        <f>'Invest. IF'!I201</f>
        <v>Indeterminadas</v>
      </c>
      <c r="K201" s="32" t="str">
        <f>'Invest. IF'!M201</f>
        <v>Marzo</v>
      </c>
      <c r="L201" s="32" t="str">
        <f>'Invest. IF'!N201</f>
        <v>ITA_N-200_R20-SANTA ROSA/PUEBLO CHICO_NR-432</v>
      </c>
      <c r="M201" s="32" t="str">
        <f>'Invest. IF'!O201</f>
        <v>Linares</v>
      </c>
      <c r="N201" s="32">
        <f>'Invest. IF'!J201</f>
        <v>233899</v>
      </c>
      <c r="O201" s="32">
        <f>'Invest. IF'!K201</f>
        <v>6069174</v>
      </c>
    </row>
    <row r="202" spans="1:15" x14ac:dyDescent="0.2">
      <c r="A202" s="36">
        <f>'Invest. IF'!A202</f>
        <v>201</v>
      </c>
      <c r="B202" s="21" t="e">
        <f>'Invest. IF'!#REF!</f>
        <v>#REF!</v>
      </c>
      <c r="C202" s="32" t="str">
        <f>'Invest. IF'!B202</f>
        <v>San Javier</v>
      </c>
      <c r="D202" s="7">
        <f>'Invest. IF'!C202</f>
        <v>420</v>
      </c>
      <c r="E202" s="32" t="str">
        <f>'Invest. IF'!D202</f>
        <v>El Lingue/ Rastrojos</v>
      </c>
      <c r="F202" s="32" t="str">
        <f>'Invest. IF'!E202</f>
        <v>1.6.1</v>
      </c>
      <c r="G202" s="32" t="str">
        <f>'Invest. IF'!F202</f>
        <v>Incendio estructural</v>
      </c>
      <c r="H202" s="32" t="str">
        <f>'Invest. IF'!G202</f>
        <v>1.6</v>
      </c>
      <c r="I202" s="32" t="str">
        <f>'Invest. IF'!H202</f>
        <v>Parcelaciones, edificaciones residenciales, industriales u otras en zonas rurales o de interfaz</v>
      </c>
      <c r="J202" s="32" t="str">
        <f>'Invest. IF'!I202</f>
        <v>Accidentales</v>
      </c>
      <c r="K202" s="32" t="str">
        <f>'Invest. IF'!M202</f>
        <v>Marzo</v>
      </c>
      <c r="L202" s="32" t="str">
        <f>'Invest. IF'!N202</f>
        <v>ITA_N-201_R20-EL LINGUE/ RASTROJOS_NR-420</v>
      </c>
      <c r="M202" s="32" t="str">
        <f>'Invest. IF'!O202</f>
        <v>Linares</v>
      </c>
      <c r="N202" s="32">
        <f>'Invest. IF'!J202</f>
        <v>760638</v>
      </c>
      <c r="O202" s="32">
        <f>'Invest. IF'!K202</f>
        <v>6056780</v>
      </c>
    </row>
    <row r="203" spans="1:15" x14ac:dyDescent="0.2">
      <c r="A203" s="36">
        <f>'Invest. IF'!A203</f>
        <v>202</v>
      </c>
      <c r="B203" s="21" t="e">
        <f>'Invest. IF'!#REF!</f>
        <v>#REF!</v>
      </c>
      <c r="C203" s="32" t="str">
        <f>'Invest. IF'!B203</f>
        <v>Linares</v>
      </c>
      <c r="D203" s="7">
        <f>'Invest. IF'!C203</f>
        <v>276</v>
      </c>
      <c r="E203" s="32" t="str">
        <f>'Invest. IF'!D203</f>
        <v xml:space="preserve">Salida Cuellar </v>
      </c>
      <c r="F203" s="32" t="str">
        <f>'Invest. IF'!E203</f>
        <v>2.1.2</v>
      </c>
      <c r="G203" s="32" t="str">
        <f>'Invest. IF'!F203</f>
        <v>Provocado por conflicto entre personas (venganza, familiares, pasionales, otros)</v>
      </c>
      <c r="H203" s="32" t="str">
        <f>'Invest. IF'!G203</f>
        <v>2.1</v>
      </c>
      <c r="I203" s="32" t="str">
        <f>'Invest. IF'!H203</f>
        <v>Incendios intencionales</v>
      </c>
      <c r="J203" s="32" t="str">
        <f>'Invest. IF'!I203</f>
        <v>Intencionales</v>
      </c>
      <c r="K203" s="32" t="str">
        <f>'Invest. IF'!M203</f>
        <v>Marzo</v>
      </c>
      <c r="L203" s="32" t="str">
        <f>'Invest. IF'!N203</f>
        <v>ITA_N-202_R20-SALIDA CUELLAR_NR-276</v>
      </c>
      <c r="M203" s="32" t="str">
        <f>'Invest. IF'!O203</f>
        <v>Linares</v>
      </c>
      <c r="N203" s="32">
        <f>'Invest. IF'!J203</f>
        <v>263299</v>
      </c>
      <c r="O203" s="32">
        <f>'Invest. IF'!K203</f>
        <v>6028561</v>
      </c>
    </row>
    <row r="204" spans="1:15" x14ac:dyDescent="0.2">
      <c r="A204" s="36">
        <f>'Invest. IF'!A204</f>
        <v>203</v>
      </c>
      <c r="B204" s="21" t="e">
        <f>'Invest. IF'!#REF!</f>
        <v>#REF!</v>
      </c>
      <c r="C204" s="32" t="str">
        <f>'Invest. IF'!B204</f>
        <v>Linares</v>
      </c>
      <c r="D204" s="7">
        <f>'Invest. IF'!C204</f>
        <v>81</v>
      </c>
      <c r="E204" s="32" t="str">
        <f>'Invest. IF'!D204</f>
        <v xml:space="preserve">Longitudinal </v>
      </c>
      <c r="F204" s="32" t="str">
        <f>'Invest. IF'!E204</f>
        <v>4.10.12</v>
      </c>
      <c r="G204" s="32" t="str">
        <f>'Invest. IF'!F204</f>
        <v>Otras actividades negligentes no clasificadas</v>
      </c>
      <c r="H204" s="32" t="str">
        <f>'Invest. IF'!G204</f>
        <v>4.10</v>
      </c>
      <c r="I204" s="32" t="str">
        <f>'Invest. IF'!H204</f>
        <v>Otras causas</v>
      </c>
      <c r="J204" s="32" t="str">
        <f>'Invest. IF'!I204</f>
        <v>Negligentes</v>
      </c>
      <c r="K204" s="32" t="str">
        <f>'Invest. IF'!M204</f>
        <v>Marzo</v>
      </c>
      <c r="L204" s="32" t="str">
        <f>'Invest. IF'!N204</f>
        <v>ITA_N-203_R20-LONGITUDINAL_NR-81</v>
      </c>
      <c r="M204" s="32" t="str">
        <f>'Invest. IF'!O204</f>
        <v>Linares</v>
      </c>
      <c r="N204" s="32">
        <f>'Invest. IF'!J204</f>
        <v>263330</v>
      </c>
      <c r="O204" s="32">
        <f>'Invest. IF'!K204</f>
        <v>6028107</v>
      </c>
    </row>
    <row r="205" spans="1:15" x14ac:dyDescent="0.2">
      <c r="A205" s="36">
        <f>'Invest. IF'!A205</f>
        <v>204</v>
      </c>
      <c r="B205" s="21" t="e">
        <f>'Invest. IF'!#REF!</f>
        <v>#REF!</v>
      </c>
      <c r="C205" s="32" t="str">
        <f>'Invest. IF'!B205</f>
        <v>Linares</v>
      </c>
      <c r="D205" s="7">
        <f>'Invest. IF'!C205</f>
        <v>129</v>
      </c>
      <c r="E205" s="32" t="str">
        <f>'Invest. IF'!D205</f>
        <v>Longitudinal 2</v>
      </c>
      <c r="F205" s="32" t="str">
        <f>'Invest. IF'!E205</f>
        <v>2.1.1</v>
      </c>
      <c r="G205" s="32" t="str">
        <f>'Invest. IF'!F205</f>
        <v>Provocado, no se identifica la motivación</v>
      </c>
      <c r="H205" s="32" t="str">
        <f>'Invest. IF'!G205</f>
        <v>2.1</v>
      </c>
      <c r="I205" s="32" t="str">
        <f>'Invest. IF'!H205</f>
        <v>Incendios intencionales</v>
      </c>
      <c r="J205" s="32" t="str">
        <f>'Invest. IF'!I205</f>
        <v>Intencionales</v>
      </c>
      <c r="K205" s="32" t="str">
        <f>'Invest. IF'!M205</f>
        <v>Marzo</v>
      </c>
      <c r="L205" s="32" t="str">
        <f>'Invest. IF'!N205</f>
        <v>ITA_N-204_R20-LONGITUDINAL 2_NR-129</v>
      </c>
      <c r="M205" s="32" t="str">
        <f>'Invest. IF'!O205</f>
        <v>Linares</v>
      </c>
      <c r="N205" s="32">
        <f>'Invest. IF'!J205</f>
        <v>262261</v>
      </c>
      <c r="O205" s="32">
        <f>'Invest. IF'!K205</f>
        <v>6028097</v>
      </c>
    </row>
    <row r="206" spans="1:15" x14ac:dyDescent="0.2">
      <c r="A206" s="36">
        <f>'Invest. IF'!A206</f>
        <v>205</v>
      </c>
      <c r="B206" s="21" t="e">
        <f>'Invest. IF'!#REF!</f>
        <v>#REF!</v>
      </c>
      <c r="C206" s="32" t="str">
        <f>'Invest. IF'!B206</f>
        <v>Linares</v>
      </c>
      <c r="D206" s="7">
        <f>'Invest. IF'!C206</f>
        <v>406</v>
      </c>
      <c r="E206" s="32" t="str">
        <f>'Invest. IF'!D206</f>
        <v>Longitudinal 5</v>
      </c>
      <c r="F206" s="32" t="str">
        <f>'Invest. IF'!E206</f>
        <v>4.8.2</v>
      </c>
      <c r="G206" s="32" t="str">
        <f>'Invest. IF'!F206</f>
        <v>Quema de basura residencial o desechos vegetales</v>
      </c>
      <c r="H206" s="32" t="str">
        <f>'Invest. IF'!G206</f>
        <v>4.8</v>
      </c>
      <c r="I206" s="32" t="str">
        <f>'Invest. IF'!H206</f>
        <v>Otras quemas</v>
      </c>
      <c r="J206" s="32" t="str">
        <f>'Invest. IF'!I206</f>
        <v>Negligentes</v>
      </c>
      <c r="K206" s="32" t="str">
        <f>'Invest. IF'!M206</f>
        <v>Marzo</v>
      </c>
      <c r="L206" s="32" t="str">
        <f>'Invest. IF'!N206</f>
        <v>ITA_N-205_R20-LONGITUDINAL 5_NR-406</v>
      </c>
      <c r="M206" s="32" t="str">
        <f>'Invest. IF'!O206</f>
        <v>Linares</v>
      </c>
      <c r="N206" s="32">
        <f>'Invest. IF'!J206</f>
        <v>262344</v>
      </c>
      <c r="O206" s="32">
        <f>'Invest. IF'!K206</f>
        <v>6028268</v>
      </c>
    </row>
    <row r="207" spans="1:15" x14ac:dyDescent="0.2">
      <c r="A207" s="36">
        <f>'Invest. IF'!A207</f>
        <v>206</v>
      </c>
      <c r="B207" s="21" t="e">
        <f>'Invest. IF'!#REF!</f>
        <v>#REF!</v>
      </c>
      <c r="C207" s="32" t="str">
        <f>'Invest. IF'!B207</f>
        <v>Linares</v>
      </c>
      <c r="D207" s="7">
        <f>'Invest. IF'!C207</f>
        <v>412</v>
      </c>
      <c r="E207" s="32" t="str">
        <f>'Invest. IF'!D207</f>
        <v>Longitudinal 6</v>
      </c>
      <c r="F207" s="32" t="str">
        <f>'Invest. IF'!E207</f>
        <v>4.11.3</v>
      </c>
      <c r="G207" s="32" t="str">
        <f>'Invest. IF'!F207</f>
        <v>Empleo de fuentes de calor en faena de extracción y/o confección de leña no industrial</v>
      </c>
      <c r="H207" s="32" t="str">
        <f>'Invest. IF'!G207</f>
        <v>4.11</v>
      </c>
      <c r="I207" s="32" t="str">
        <f>'Invest. IF'!H207</f>
        <v>Producción y/o extracción de productos y/o derivados del bosque</v>
      </c>
      <c r="J207" s="32" t="str">
        <f>'Invest. IF'!I207</f>
        <v>Negligentes</v>
      </c>
      <c r="K207" s="32" t="str">
        <f>'Invest. IF'!M207</f>
        <v>Marzo</v>
      </c>
      <c r="L207" s="32" t="str">
        <f>'Invest. IF'!N207</f>
        <v>ITA_N-206_R20-LONGITUDINAL 6_NR-412</v>
      </c>
      <c r="M207" s="32" t="str">
        <f>'Invest. IF'!O207</f>
        <v>Linares</v>
      </c>
      <c r="N207" s="32">
        <f>'Invest. IF'!J207</f>
        <v>262136</v>
      </c>
      <c r="O207" s="32">
        <f>'Invest. IF'!K207</f>
        <v>6028501</v>
      </c>
    </row>
    <row r="208" spans="1:15" x14ac:dyDescent="0.2">
      <c r="A208" s="36">
        <f>'Invest. IF'!A208</f>
        <v>207</v>
      </c>
      <c r="B208" s="21" t="e">
        <f>'Invest. IF'!#REF!</f>
        <v>#REF!</v>
      </c>
      <c r="C208" s="32" t="str">
        <f>'Invest. IF'!B208</f>
        <v>San Javier</v>
      </c>
      <c r="D208" s="7">
        <f>'Invest. IF'!C208</f>
        <v>619</v>
      </c>
      <c r="E208" s="32" t="str">
        <f>'Invest. IF'!D208</f>
        <v>Alto El Boldo</v>
      </c>
      <c r="F208" s="32" t="str">
        <f>'Invest. IF'!E208</f>
        <v>1.6.1</v>
      </c>
      <c r="G208" s="32" t="str">
        <f>'Invest. IF'!F208</f>
        <v>Incendio estructural</v>
      </c>
      <c r="H208" s="32" t="str">
        <f>'Invest. IF'!G208</f>
        <v>1.6</v>
      </c>
      <c r="I208" s="32" t="str">
        <f>'Invest. IF'!H208</f>
        <v>Parcelaciones, edificaciones residenciales, industriales u otras en zonas rurales o de interfaz</v>
      </c>
      <c r="J208" s="32" t="str">
        <f>'Invest. IF'!I208</f>
        <v>Accidentales</v>
      </c>
      <c r="K208" s="32" t="str">
        <f>'Invest. IF'!M208</f>
        <v>Marzo</v>
      </c>
      <c r="L208" s="32" t="str">
        <f>'Invest. IF'!N208</f>
        <v>ITA_N-207_R20-ALTO EL BOLDO_NR-619</v>
      </c>
      <c r="M208" s="32" t="str">
        <f>'Invest. IF'!O208</f>
        <v>Linares</v>
      </c>
      <c r="N208" s="32">
        <f>'Invest. IF'!J208</f>
        <v>769397</v>
      </c>
      <c r="O208" s="32">
        <f>'Invest. IF'!K208</f>
        <v>6058554</v>
      </c>
    </row>
    <row r="209" spans="1:15" x14ac:dyDescent="0.2">
      <c r="A209" s="36">
        <f>'Invest. IF'!A209</f>
        <v>208</v>
      </c>
      <c r="B209" s="21" t="e">
        <f>'Invest. IF'!#REF!</f>
        <v>#REF!</v>
      </c>
      <c r="C209" s="32" t="str">
        <f>'Invest. IF'!B209</f>
        <v>San Javier</v>
      </c>
      <c r="D209" s="7">
        <f>'Invest. IF'!C209</f>
        <v>622</v>
      </c>
      <c r="E209" s="32" t="str">
        <f>'Invest. IF'!D209</f>
        <v xml:space="preserve">Santa Matilde </v>
      </c>
      <c r="F209" s="32" t="str">
        <f>'Invest. IF'!E209</f>
        <v>4.6.5</v>
      </c>
      <c r="G209" s="32" t="str">
        <f>'Invest. IF'!F209</f>
        <v>Empleo de fuentes de calor en actividades relacionadas a parcelaciones (asados, tijerales, fogatas, otros)</v>
      </c>
      <c r="H209" s="32" t="str">
        <f>'Invest. IF'!G209</f>
        <v>4.6</v>
      </c>
      <c r="I209" s="32" t="str">
        <f>'Invest. IF'!H209</f>
        <v>Parcelaciones, edificaciones residenciales, industriales u otras en zonas rurales o de interfaz</v>
      </c>
      <c r="J209" s="32" t="str">
        <f>'Invest. IF'!I209</f>
        <v>Negligentes</v>
      </c>
      <c r="K209" s="32" t="str">
        <f>'Invest. IF'!M209</f>
        <v>Marzo</v>
      </c>
      <c r="L209" s="32" t="str">
        <f>'Invest. IF'!N209</f>
        <v>ITA_N-208_R20-SANTA MATILDE_NR-622</v>
      </c>
      <c r="M209" s="32" t="str">
        <f>'Invest. IF'!O209</f>
        <v>Linares</v>
      </c>
      <c r="N209" s="32">
        <f>'Invest. IF'!J209</f>
        <v>768989</v>
      </c>
      <c r="O209" s="32">
        <f>'Invest. IF'!K209</f>
        <v>6033999</v>
      </c>
    </row>
    <row r="210" spans="1:15" x14ac:dyDescent="0.2">
      <c r="A210" s="36">
        <f>'Invest. IF'!A210</f>
        <v>209</v>
      </c>
      <c r="B210" s="21" t="e">
        <f>'Invest. IF'!#REF!</f>
        <v>#REF!</v>
      </c>
      <c r="C210" s="32" t="str">
        <f>'Invest. IF'!B210</f>
        <v>Parral</v>
      </c>
      <c r="D210" s="7">
        <f>'Invest. IF'!C210</f>
        <v>490</v>
      </c>
      <c r="E210" s="32" t="str">
        <f>'Invest. IF'!D210</f>
        <v>Unicaven</v>
      </c>
      <c r="F210" s="32" t="str">
        <f>'Invest. IF'!E210</f>
        <v>4.10.12</v>
      </c>
      <c r="G210" s="32" t="str">
        <f>'Invest. IF'!F210</f>
        <v>Otras actividades negligentes no clasificadas</v>
      </c>
      <c r="H210" s="32" t="str">
        <f>'Invest. IF'!G210</f>
        <v>4.10</v>
      </c>
      <c r="I210" s="32" t="str">
        <f>'Invest. IF'!H210</f>
        <v>Otras causas</v>
      </c>
      <c r="J210" s="32" t="str">
        <f>'Invest. IF'!I210</f>
        <v>Negligentes</v>
      </c>
      <c r="K210" s="32" t="str">
        <f>'Invest. IF'!M210</f>
        <v>Marzo</v>
      </c>
      <c r="L210" s="32" t="str">
        <f>'Invest. IF'!N210</f>
        <v>ITA_N-209_R20-UNICAVEN_NR-490</v>
      </c>
      <c r="M210" s="32" t="str">
        <f>'Invest. IF'!O210</f>
        <v>Linares</v>
      </c>
      <c r="N210" s="32">
        <f>'Invest. IF'!J210</f>
        <v>768663</v>
      </c>
      <c r="O210" s="32">
        <f>'Invest. IF'!K210</f>
        <v>6003310</v>
      </c>
    </row>
    <row r="211" spans="1:15" x14ac:dyDescent="0.2">
      <c r="A211" s="36">
        <f>'Invest. IF'!A211</f>
        <v>210</v>
      </c>
      <c r="B211" s="21" t="e">
        <f>'Invest. IF'!#REF!</f>
        <v>#REF!</v>
      </c>
      <c r="C211" s="32" t="str">
        <f>'Invest. IF'!B211</f>
        <v>Villa Alegre</v>
      </c>
      <c r="D211" s="7">
        <f>'Invest. IF'!C211</f>
        <v>579</v>
      </c>
      <c r="E211" s="32" t="str">
        <f>'Invest. IF'!D211</f>
        <v>Guaipillo</v>
      </c>
      <c r="F211" s="32" t="str">
        <f>'Invest. IF'!E211</f>
        <v>4.9.1</v>
      </c>
      <c r="G211" s="32" t="str">
        <f>'Invest. IF'!F211</f>
        <v>Combustión de la vegetación, producto del contacto o proximidad con el tendido eléctrico</v>
      </c>
      <c r="H211" s="32" t="str">
        <f>'Invest. IF'!G211</f>
        <v>4.9</v>
      </c>
      <c r="I211" s="32" t="str">
        <f>'Invest. IF'!H211</f>
        <v>Líneas eléctricas</v>
      </c>
      <c r="J211" s="32" t="str">
        <f>'Invest. IF'!I211</f>
        <v>Negligentes</v>
      </c>
      <c r="K211" s="32" t="str">
        <f>'Invest. IF'!M211</f>
        <v>Marzo</v>
      </c>
      <c r="L211" s="32" t="str">
        <f>'Invest. IF'!N211</f>
        <v>ITA_N-210_R20-GUAIPILLO_NR-579</v>
      </c>
      <c r="M211" s="32" t="str">
        <f>'Invest. IF'!O211</f>
        <v>Linares</v>
      </c>
      <c r="N211" s="32">
        <f>'Invest. IF'!J211</f>
        <v>255982</v>
      </c>
      <c r="O211" s="32">
        <f>'Invest. IF'!K211</f>
        <v>6051498</v>
      </c>
    </row>
    <row r="212" spans="1:15" x14ac:dyDescent="0.2">
      <c r="A212" s="36">
        <f>'Invest. IF'!A212</f>
        <v>211</v>
      </c>
      <c r="B212" s="21" t="e">
        <f>'Invest. IF'!#REF!</f>
        <v>#REF!</v>
      </c>
      <c r="C212" s="32" t="str">
        <f>'Invest. IF'!B212</f>
        <v>Linares</v>
      </c>
      <c r="D212" s="7">
        <f>'Invest. IF'!C212</f>
        <v>428</v>
      </c>
      <c r="E212" s="32" t="str">
        <f>'Invest. IF'!D212</f>
        <v>La Posada</v>
      </c>
      <c r="F212" s="32" t="str">
        <f>'Invest. IF'!E212</f>
        <v>1.7.1</v>
      </c>
      <c r="G212" s="32" t="str">
        <f>'Invest. IF'!F212</f>
        <v>Accidente o incendio de vehículo</v>
      </c>
      <c r="H212" s="32" t="str">
        <f>'Invest. IF'!G212</f>
        <v>1.7</v>
      </c>
      <c r="I212" s="32" t="str">
        <f>'Invest. IF'!H212</f>
        <v>Originados por desplazamiento de personas, vehículos o aeronaves</v>
      </c>
      <c r="J212" s="32" t="str">
        <f>'Invest. IF'!I212</f>
        <v>Accidentales</v>
      </c>
      <c r="K212" s="32" t="str">
        <f>'Invest. IF'!M212</f>
        <v>Marzo</v>
      </c>
      <c r="L212" s="32" t="str">
        <f>'Invest. IF'!N212</f>
        <v>ITA_N-211_R20-LA POSADA_NR-428</v>
      </c>
      <c r="M212" s="32" t="str">
        <f>'Invest. IF'!O212</f>
        <v>Linares</v>
      </c>
      <c r="N212" s="32">
        <f>'Invest. IF'!J212</f>
        <v>266432</v>
      </c>
      <c r="O212" s="32">
        <f>'Invest. IF'!K212</f>
        <v>6032669</v>
      </c>
    </row>
    <row r="213" spans="1:15" x14ac:dyDescent="0.2">
      <c r="A213" s="36">
        <f>'Invest. IF'!A213</f>
        <v>212</v>
      </c>
      <c r="B213" s="21" t="e">
        <f>'Invest. IF'!#REF!</f>
        <v>#REF!</v>
      </c>
      <c r="C213" s="32" t="str">
        <f>'Invest. IF'!B213</f>
        <v>Longaví</v>
      </c>
      <c r="D213" s="7">
        <f>'Invest. IF'!C213</f>
        <v>156</v>
      </c>
      <c r="E213" s="32" t="str">
        <f>'Invest. IF'!D213</f>
        <v>Camino a Miraflores</v>
      </c>
      <c r="F213" s="32" t="str">
        <f>'Invest. IF'!E213</f>
        <v>4.10.4</v>
      </c>
      <c r="G213" s="32" t="str">
        <f>'Invest. IF'!F213</f>
        <v>Acciones asociadas a fumar</v>
      </c>
      <c r="H213" s="32" t="str">
        <f>'Invest. IF'!G213</f>
        <v>4.10</v>
      </c>
      <c r="I213" s="32" t="str">
        <f>'Invest. IF'!H213</f>
        <v>Otras causas</v>
      </c>
      <c r="J213" s="32" t="str">
        <f>'Invest. IF'!I213</f>
        <v>Negligentes</v>
      </c>
      <c r="K213" s="32" t="str">
        <f>'Invest. IF'!M213</f>
        <v>Marzo</v>
      </c>
      <c r="L213" s="32" t="str">
        <f>'Invest. IF'!N213</f>
        <v>ITA_N-212_R20-CAMINO A MIRAFLORES_NR-156</v>
      </c>
      <c r="M213" s="32" t="str">
        <f>'Invest. IF'!O213</f>
        <v>Linares</v>
      </c>
      <c r="N213" s="32">
        <f>'Invest. IF'!J213</f>
        <v>259000</v>
      </c>
      <c r="O213" s="32">
        <f>'Invest. IF'!K213</f>
        <v>6018919</v>
      </c>
    </row>
    <row r="214" spans="1:15" x14ac:dyDescent="0.2">
      <c r="A214" s="36">
        <f>'Invest. IF'!A214</f>
        <v>213</v>
      </c>
      <c r="B214" s="21" t="e">
        <f>'Invest. IF'!#REF!</f>
        <v>#REF!</v>
      </c>
      <c r="C214" s="32" t="str">
        <f>'Invest. IF'!B214</f>
        <v>Longaví</v>
      </c>
      <c r="D214" s="7">
        <f>'Invest. IF'!C214</f>
        <v>544</v>
      </c>
      <c r="E214" s="32" t="str">
        <f>'Invest. IF'!D214</f>
        <v>Tres Esquinas</v>
      </c>
      <c r="F214" s="32" t="str">
        <f>'Invest. IF'!E214</f>
        <v>4.10.12</v>
      </c>
      <c r="G214" s="32" t="str">
        <f>'Invest. IF'!F214</f>
        <v>Otras actividades negligentes no clasificadas</v>
      </c>
      <c r="H214" s="32" t="str">
        <f>'Invest. IF'!G214</f>
        <v>4.10</v>
      </c>
      <c r="I214" s="32" t="str">
        <f>'Invest. IF'!H214</f>
        <v>Otras causas</v>
      </c>
      <c r="J214" s="32" t="str">
        <f>'Invest. IF'!I214</f>
        <v>Negligentes</v>
      </c>
      <c r="K214" s="32" t="str">
        <f>'Invest. IF'!M214</f>
        <v>Marzo</v>
      </c>
      <c r="L214" s="32" t="str">
        <f>'Invest. IF'!N214</f>
        <v>ITA_N-213_R20-TRES ESQUINAS_NR-544</v>
      </c>
      <c r="M214" s="32" t="str">
        <f>'Invest. IF'!O214</f>
        <v>Linares</v>
      </c>
      <c r="N214" s="32">
        <f>'Invest. IF'!J214</f>
        <v>256699</v>
      </c>
      <c r="O214" s="32">
        <f>'Invest. IF'!K214</f>
        <v>6018406</v>
      </c>
    </row>
    <row r="215" spans="1:15" x14ac:dyDescent="0.2">
      <c r="A215" s="36">
        <f>'Invest. IF'!A215</f>
        <v>214</v>
      </c>
      <c r="B215" s="21" t="e">
        <f>'Invest. IF'!#REF!</f>
        <v>#REF!</v>
      </c>
      <c r="C215" s="32" t="str">
        <f>'Invest. IF'!B215</f>
        <v>Linares</v>
      </c>
      <c r="D215" s="7">
        <f>'Invest. IF'!C215</f>
        <v>316</v>
      </c>
      <c r="E215" s="32" t="str">
        <f>'Invest. IF'!D215</f>
        <v>Longitudinal 3</v>
      </c>
      <c r="F215" s="32" t="str">
        <f>'Invest. IF'!E215</f>
        <v>4.8.1</v>
      </c>
      <c r="G215" s="32" t="str">
        <f>'Invest. IF'!F215</f>
        <v>Quema no avisada con fines de limpieza en canales, cunetas, cercos o caminos (en predios particulares o públicos) que se propaga libre y sin control</v>
      </c>
      <c r="H215" s="32" t="str">
        <f>'Invest. IF'!G215</f>
        <v>4.8</v>
      </c>
      <c r="I215" s="32" t="str">
        <f>'Invest. IF'!H215</f>
        <v>Otras quemas</v>
      </c>
      <c r="J215" s="32" t="str">
        <f>'Invest. IF'!I215</f>
        <v>Negligentes</v>
      </c>
      <c r="K215" s="32" t="str">
        <f>'Invest. IF'!M215</f>
        <v>Marzo</v>
      </c>
      <c r="L215" s="32" t="str">
        <f>'Invest. IF'!N215</f>
        <v>ITA_N-214_R20-LONGITUDINAL 3_NR-316</v>
      </c>
      <c r="M215" s="32" t="str">
        <f>'Invest. IF'!O215</f>
        <v>Linares</v>
      </c>
      <c r="N215" s="32">
        <f>'Invest. IF'!J215</f>
        <v>262488</v>
      </c>
      <c r="O215" s="32">
        <f>'Invest. IF'!K215</f>
        <v>6028200</v>
      </c>
    </row>
    <row r="216" spans="1:15" x14ac:dyDescent="0.2">
      <c r="A216" s="36">
        <f>'Invest. IF'!A216</f>
        <v>215</v>
      </c>
      <c r="B216" s="21" t="e">
        <f>'Invest. IF'!#REF!</f>
        <v>#REF!</v>
      </c>
      <c r="C216" s="32" t="str">
        <f>'Invest. IF'!B216</f>
        <v>Río Claro</v>
      </c>
      <c r="D216" s="7">
        <f>'Invest. IF'!C216</f>
        <v>489</v>
      </c>
      <c r="E216" s="32" t="str">
        <f>'Invest. IF'!D216</f>
        <v>Santa Agueda 3</v>
      </c>
      <c r="F216" s="32" t="str">
        <f>'Invest. IF'!E216</f>
        <v>5.1.1</v>
      </c>
      <c r="G216" s="32" t="str">
        <f>'Invest. IF'!F216</f>
        <v>Se investiga pero no es posible establecer la causa</v>
      </c>
      <c r="H216" s="32" t="str">
        <f>'Invest. IF'!G216</f>
        <v>5.1</v>
      </c>
      <c r="I216" s="32" t="str">
        <f>'Invest. IF'!H216</f>
        <v>Incendios de causa indeterminada</v>
      </c>
      <c r="J216" s="32" t="str">
        <f>'Invest. IF'!I216</f>
        <v>Indeterminadas</v>
      </c>
      <c r="K216" s="32" t="str">
        <f>'Invest. IF'!M216</f>
        <v>Marzo</v>
      </c>
      <c r="L216" s="32" t="str">
        <f>'Invest. IF'!N216</f>
        <v>ITA_N-215_R20-SANTA AGUEDA  3_NR-489</v>
      </c>
      <c r="M216" s="32" t="str">
        <f>'Invest. IF'!O216</f>
        <v>Talca</v>
      </c>
      <c r="N216" s="32">
        <f>'Invest. IF'!J216</f>
        <v>286585</v>
      </c>
      <c r="O216" s="32">
        <f>'Invest. IF'!K216</f>
        <v>6098588</v>
      </c>
    </row>
    <row r="217" spans="1:15" x14ac:dyDescent="0.2">
      <c r="A217" s="36">
        <f>'Invest. IF'!A217</f>
        <v>216</v>
      </c>
      <c r="B217" s="21" t="e">
        <f>'Invest. IF'!#REF!</f>
        <v>#REF!</v>
      </c>
      <c r="C217" s="32" t="str">
        <f>'Invest. IF'!B217</f>
        <v>Río Claro</v>
      </c>
      <c r="D217" s="7">
        <f>'Invest. IF'!C217</f>
        <v>602</v>
      </c>
      <c r="E217" s="32" t="str">
        <f>'Invest. IF'!D217</f>
        <v>Los Robles 2</v>
      </c>
      <c r="F217" s="32" t="str">
        <f>'Invest. IF'!E217</f>
        <v>5.1.1</v>
      </c>
      <c r="G217" s="32" t="str">
        <f>'Invest. IF'!F217</f>
        <v>Se investiga pero no es posible establecer la causa</v>
      </c>
      <c r="H217" s="32" t="str">
        <f>'Invest. IF'!G217</f>
        <v>5.1</v>
      </c>
      <c r="I217" s="32" t="str">
        <f>'Invest. IF'!H217</f>
        <v>Incendios de causa indeterminada</v>
      </c>
      <c r="J217" s="32" t="str">
        <f>'Invest. IF'!I217</f>
        <v>Indeterminadas</v>
      </c>
      <c r="K217" s="32" t="str">
        <f>'Invest. IF'!M217</f>
        <v>Marzo</v>
      </c>
      <c r="L217" s="32" t="str">
        <f>'Invest. IF'!N217</f>
        <v>ITA_N-216_R20-LOS ROBLES 2_NR-602</v>
      </c>
      <c r="M217" s="32" t="str">
        <f>'Invest. IF'!O217</f>
        <v>Talca</v>
      </c>
      <c r="N217" s="32">
        <f>'Invest. IF'!J217</f>
        <v>286922</v>
      </c>
      <c r="O217" s="32">
        <f>'Invest. IF'!K217</f>
        <v>6098976</v>
      </c>
    </row>
    <row r="218" spans="1:15" x14ac:dyDescent="0.2">
      <c r="A218" s="36">
        <f>'Invest. IF'!A218</f>
        <v>217</v>
      </c>
      <c r="B218" s="21" t="e">
        <f>'Invest. IF'!#REF!</f>
        <v>#REF!</v>
      </c>
      <c r="C218" s="32" t="str">
        <f>'Invest. IF'!B218</f>
        <v>Yerbas Buenas</v>
      </c>
      <c r="D218" s="7">
        <f>'Invest. IF'!C218</f>
        <v>407</v>
      </c>
      <c r="E218" s="32" t="str">
        <f>'Invest. IF'!D218</f>
        <v>El Carmen 2</v>
      </c>
      <c r="F218" s="32" t="str">
        <f>'Invest. IF'!E218</f>
        <v>5.1.1</v>
      </c>
      <c r="G218" s="32" t="str">
        <f>'Invest. IF'!F218</f>
        <v>Se investiga pero no es posible establecer la causa</v>
      </c>
      <c r="H218" s="32" t="str">
        <f>'Invest. IF'!G218</f>
        <v>5.1</v>
      </c>
      <c r="I218" s="32" t="str">
        <f>'Invest. IF'!H218</f>
        <v>Incendios de causa indeterminada</v>
      </c>
      <c r="J218" s="32" t="str">
        <f>'Invest. IF'!I218</f>
        <v>Indeterminadas</v>
      </c>
      <c r="K218" s="32" t="str">
        <f>'Invest. IF'!M218</f>
        <v>Marzo</v>
      </c>
      <c r="L218" s="32" t="str">
        <f>'Invest. IF'!N218</f>
        <v>ITA_N-217_R20-ELCARMEN 2_NR-407</v>
      </c>
      <c r="M218" s="32" t="str">
        <f>'Invest. IF'!O218</f>
        <v>Linares</v>
      </c>
      <c r="N218" s="32">
        <f>'Invest. IF'!J218</f>
        <v>271490</v>
      </c>
      <c r="O218" s="32">
        <f>'Invest. IF'!K218</f>
        <v>6054711</v>
      </c>
    </row>
    <row r="219" spans="1:15" x14ac:dyDescent="0.2">
      <c r="A219" s="36">
        <f>'Invest. IF'!A219</f>
        <v>218</v>
      </c>
      <c r="B219" s="21" t="e">
        <f>'Invest. IF'!#REF!</f>
        <v>#REF!</v>
      </c>
      <c r="C219" s="32" t="str">
        <f>'Invest. IF'!B219</f>
        <v>Yerbas Buenas</v>
      </c>
      <c r="D219" s="7">
        <f>'Invest. IF'!C219</f>
        <v>438</v>
      </c>
      <c r="E219" s="32" t="str">
        <f>'Invest. IF'!D219</f>
        <v>Nuevo Amanecer</v>
      </c>
      <c r="F219" s="32" t="str">
        <f>'Invest. IF'!E219</f>
        <v>4.5.1</v>
      </c>
      <c r="G219" s="32" t="str">
        <f>'Invest. IF'!F219</f>
        <v>Rebrote de incendio anterior, declarado extinto</v>
      </c>
      <c r="H219" s="32" t="str">
        <f>'Invest. IF'!G219</f>
        <v>4.5</v>
      </c>
      <c r="I219" s="32" t="str">
        <f>'Invest. IF'!H219</f>
        <v>Actividades de control y extinción de incendios forestales</v>
      </c>
      <c r="J219" s="32" t="str">
        <f>'Invest. IF'!I219</f>
        <v>Negligentes</v>
      </c>
      <c r="K219" s="32" t="str">
        <f>'Invest. IF'!M219</f>
        <v>Marzo</v>
      </c>
      <c r="L219" s="32" t="str">
        <f>'Invest. IF'!N219</f>
        <v>ITA_N-218_R20-NUEVO AMANECER_NR-438</v>
      </c>
      <c r="M219" s="32" t="str">
        <f>'Invest. IF'!O219</f>
        <v>Linares</v>
      </c>
      <c r="N219" s="32">
        <f>'Invest. IF'!J219</f>
        <v>271636</v>
      </c>
      <c r="O219" s="32">
        <f>'Invest. IF'!K219</f>
        <v>6054756</v>
      </c>
    </row>
    <row r="220" spans="1:15" x14ac:dyDescent="0.2">
      <c r="A220" s="36">
        <f>'Invest. IF'!A220</f>
        <v>219</v>
      </c>
      <c r="B220" s="21" t="e">
        <f>'Invest. IF'!#REF!</f>
        <v>#REF!</v>
      </c>
      <c r="C220" s="32" t="str">
        <f>'Invest. IF'!B220</f>
        <v>Linares</v>
      </c>
      <c r="D220" s="7">
        <f>'Invest. IF'!C220</f>
        <v>384</v>
      </c>
      <c r="E220" s="32" t="str">
        <f>'Invest. IF'!D220</f>
        <v>La Granja</v>
      </c>
      <c r="F220" s="32" t="str">
        <f>'Invest. IF'!E220</f>
        <v>4.2.4</v>
      </c>
      <c r="G220" s="32" t="str">
        <f>'Invest. IF'!F220</f>
        <v>Partícula incandescente generada sin roce por vehículo, maquinaria o herramienta agrícola</v>
      </c>
      <c r="H220" s="32" t="str">
        <f>'Invest. IF'!G220</f>
        <v>4.2</v>
      </c>
      <c r="I220" s="32" t="str">
        <f>'Invest. IF'!H220</f>
        <v>Faenas agrícolas y pecuarias</v>
      </c>
      <c r="J220" s="32" t="str">
        <f>'Invest. IF'!I220</f>
        <v>Negligentes</v>
      </c>
      <c r="K220" s="32" t="str">
        <f>'Invest. IF'!M220</f>
        <v>Marzo</v>
      </c>
      <c r="L220" s="32" t="str">
        <f>'Invest. IF'!N220</f>
        <v>ITA_N-219_R20-LA GRANJA_NR-384</v>
      </c>
      <c r="M220" s="32" t="str">
        <f>'Invest. IF'!O220</f>
        <v>Linares</v>
      </c>
      <c r="N220" s="32">
        <f>'Invest. IF'!J220</f>
        <v>261953</v>
      </c>
      <c r="O220" s="32">
        <f>'Invest. IF'!K220</f>
        <v>6030609</v>
      </c>
    </row>
    <row r="221" spans="1:15" x14ac:dyDescent="0.2">
      <c r="A221" s="36">
        <f>'Invest. IF'!A221</f>
        <v>220</v>
      </c>
      <c r="B221" s="21" t="e">
        <f>'Invest. IF'!#REF!</f>
        <v>#REF!</v>
      </c>
      <c r="C221" s="32" t="str">
        <f>'Invest. IF'!B221</f>
        <v>Linares</v>
      </c>
      <c r="D221" s="7">
        <f>'Invest. IF'!C221</f>
        <v>519</v>
      </c>
      <c r="E221" s="32" t="str">
        <f>'Invest. IF'!D221</f>
        <v>Palmilla 2</v>
      </c>
      <c r="F221" s="32" t="str">
        <f>'Invest. IF'!E221</f>
        <v>4.2.8</v>
      </c>
      <c r="G221" s="32" t="str">
        <f>'Invest. IF'!F221</f>
        <v>Otras causas negligentes no clasificadas en faenas agrícolas y pecuarias</v>
      </c>
      <c r="H221" s="32" t="str">
        <f>'Invest. IF'!G221</f>
        <v>4.2</v>
      </c>
      <c r="I221" s="32" t="str">
        <f>'Invest. IF'!H221</f>
        <v>Faenas agrícolas y pecuarias</v>
      </c>
      <c r="J221" s="32" t="str">
        <f>'Invest. IF'!I221</f>
        <v>Negligentes</v>
      </c>
      <c r="K221" s="32" t="str">
        <f>'Invest. IF'!M221</f>
        <v>Marzo</v>
      </c>
      <c r="L221" s="32" t="str">
        <f>'Invest. IF'!N221</f>
        <v>ITA_N-220_R20-PALMILLA 2_NR-519</v>
      </c>
      <c r="M221" s="32" t="str">
        <f>'Invest. IF'!O221</f>
        <v>Linares</v>
      </c>
      <c r="N221" s="32">
        <f>'Invest. IF'!J221</f>
        <v>257321</v>
      </c>
      <c r="O221" s="32">
        <f>'Invest. IF'!K221</f>
        <v>6028875</v>
      </c>
    </row>
    <row r="222" spans="1:15" x14ac:dyDescent="0.2">
      <c r="A222" s="36">
        <f>'Invest. IF'!A222</f>
        <v>221</v>
      </c>
      <c r="B222" s="21" t="e">
        <f>'Invest. IF'!#REF!</f>
        <v>#REF!</v>
      </c>
      <c r="C222" s="32" t="str">
        <f>'Invest. IF'!B222</f>
        <v>Linares</v>
      </c>
      <c r="D222" s="7">
        <f>'Invest. IF'!C222</f>
        <v>411</v>
      </c>
      <c r="E222" s="32" t="str">
        <f>'Invest. IF'!D222</f>
        <v>Tres Esquinas</v>
      </c>
      <c r="F222" s="32" t="str">
        <f>'Invest. IF'!E222</f>
        <v>4.11.3</v>
      </c>
      <c r="G222" s="32" t="str">
        <f>'Invest. IF'!F222</f>
        <v>Empleo de fuentes de calor en faena de extracción y/o confección de leña no industrial</v>
      </c>
      <c r="H222" s="32" t="str">
        <f>'Invest. IF'!G222</f>
        <v>4.11</v>
      </c>
      <c r="I222" s="32" t="str">
        <f>'Invest. IF'!H222</f>
        <v>Producción y/o extracción de productos y/o derivados del bosque</v>
      </c>
      <c r="J222" s="32" t="str">
        <f>'Invest. IF'!I222</f>
        <v>Negligentes</v>
      </c>
      <c r="K222" s="32" t="str">
        <f>'Invest. IF'!M222</f>
        <v>Marzo</v>
      </c>
      <c r="L222" s="32" t="str">
        <f>'Invest. IF'!N222</f>
        <v>ITA_N-221_R20-TRES ESQUINAS_NR-411</v>
      </c>
      <c r="M222" s="32" t="str">
        <f>'Invest. IF'!O222</f>
        <v>Linares</v>
      </c>
      <c r="N222" s="32">
        <f>'Invest. IF'!J222</f>
        <v>270164</v>
      </c>
      <c r="O222" s="32">
        <f>'Invest. IF'!K222</f>
        <v>6026740</v>
      </c>
    </row>
    <row r="223" spans="1:15" x14ac:dyDescent="0.2">
      <c r="A223" s="36">
        <f>'Invest. IF'!A223</f>
        <v>222</v>
      </c>
      <c r="B223" s="21" t="e">
        <f>'Invest. IF'!#REF!</f>
        <v>#REF!</v>
      </c>
      <c r="C223" s="32" t="str">
        <f>'Invest. IF'!B223</f>
        <v>Maule</v>
      </c>
      <c r="D223" s="7">
        <f>'Invest. IF'!C223</f>
        <v>617</v>
      </c>
      <c r="E223" s="32" t="str">
        <f>'Invest. IF'!D223</f>
        <v>Villa Cobín 2</v>
      </c>
      <c r="F223" s="32" t="str">
        <f>'Invest. IF'!E223</f>
        <v>4.10.4</v>
      </c>
      <c r="G223" s="32" t="str">
        <f>'Invest. IF'!F223</f>
        <v>Acciones asociadas a fumar</v>
      </c>
      <c r="H223" s="32" t="str">
        <f>'Invest. IF'!G223</f>
        <v>4.10</v>
      </c>
      <c r="I223" s="32" t="str">
        <f>'Invest. IF'!H223</f>
        <v>Otras causas</v>
      </c>
      <c r="J223" s="32" t="str">
        <f>'Invest. IF'!I223</f>
        <v>Negligentes</v>
      </c>
      <c r="K223" s="32" t="str">
        <f>'Invest. IF'!M223</f>
        <v>Marzo</v>
      </c>
      <c r="L223" s="32" t="str">
        <f>'Invest. IF'!N223</f>
        <v>ITA_N-222_R20-VILLA COBIN 2_NR-617</v>
      </c>
      <c r="M223" s="32" t="str">
        <f>'Invest. IF'!O223</f>
        <v>Talca</v>
      </c>
      <c r="N223" s="32">
        <f>'Invest. IF'!J223</f>
        <v>247675</v>
      </c>
      <c r="O223" s="32">
        <f>'Invest. IF'!K223</f>
        <v>6070700</v>
      </c>
    </row>
    <row r="224" spans="1:15" x14ac:dyDescent="0.2">
      <c r="A224" s="36">
        <f>'Invest. IF'!A224</f>
        <v>223</v>
      </c>
      <c r="B224" s="21" t="e">
        <f>'Invest. IF'!#REF!</f>
        <v>#REF!</v>
      </c>
      <c r="C224" s="32" t="str">
        <f>'Invest. IF'!B224</f>
        <v>Maule</v>
      </c>
      <c r="D224" s="7">
        <f>'Invest. IF'!C224</f>
        <v>639</v>
      </c>
      <c r="E224" s="32" t="str">
        <f>'Invest. IF'!D224</f>
        <v>Los Maitenes</v>
      </c>
      <c r="F224" s="32" t="str">
        <f>'Invest. IF'!E224</f>
        <v>1.6.1</v>
      </c>
      <c r="G224" s="32" t="str">
        <f>'Invest. IF'!F224</f>
        <v>Incendio estructural</v>
      </c>
      <c r="H224" s="32" t="str">
        <f>'Invest. IF'!G224</f>
        <v>1.6</v>
      </c>
      <c r="I224" s="32" t="str">
        <f>'Invest. IF'!H224</f>
        <v>Parcelaciones, edificaciones residenciales, industriales u otras en zonas rurales o de interfaz</v>
      </c>
      <c r="J224" s="32" t="str">
        <f>'Invest. IF'!I224</f>
        <v>Accidentales</v>
      </c>
      <c r="K224" s="32" t="str">
        <f>'Invest. IF'!M224</f>
        <v>Marzo</v>
      </c>
      <c r="L224" s="32" t="str">
        <f>'Invest. IF'!N224</f>
        <v>ITA_N-223_R20-LOS MAITENES_NR-639</v>
      </c>
      <c r="M224" s="32" t="str">
        <f>'Invest. IF'!O224</f>
        <v>Talca</v>
      </c>
      <c r="N224" s="32">
        <f>'Invest. IF'!J224</f>
        <v>253124</v>
      </c>
      <c r="O224" s="32">
        <f>'Invest. IF'!K224</f>
        <v>6071801</v>
      </c>
    </row>
    <row r="225" spans="1:15" x14ac:dyDescent="0.2">
      <c r="A225" s="36">
        <f>'Invest. IF'!A225</f>
        <v>224</v>
      </c>
      <c r="B225" s="21" t="e">
        <f>'Invest. IF'!#REF!</f>
        <v>#REF!</v>
      </c>
      <c r="C225" s="32" t="str">
        <f>'Invest. IF'!B225</f>
        <v>Molina</v>
      </c>
      <c r="D225" s="7">
        <f>'Invest. IF'!C225</f>
        <v>427</v>
      </c>
      <c r="E225" s="32" t="str">
        <f>'Invest. IF'!D225</f>
        <v>Pichingal 2</v>
      </c>
      <c r="F225" s="32" t="str">
        <f>'Invest. IF'!E225</f>
        <v>4.2.1</v>
      </c>
      <c r="G225" s="32" t="str">
        <f>'Invest. IF'!F225</f>
        <v>Quema no avisada de desechos agrícolas que se propaga libre y sin control</v>
      </c>
      <c r="H225" s="32" t="str">
        <f>'Invest. IF'!G225</f>
        <v>4.2</v>
      </c>
      <c r="I225" s="32" t="str">
        <f>'Invest. IF'!H225</f>
        <v>Faenas agrícolas y pecuarias</v>
      </c>
      <c r="J225" s="32" t="str">
        <f>'Invest. IF'!I225</f>
        <v>Negligentes</v>
      </c>
      <c r="K225" s="32" t="str">
        <f>'Invest. IF'!M225</f>
        <v>Marzo</v>
      </c>
      <c r="L225" s="32" t="str">
        <f>'Invest. IF'!N225</f>
        <v>ITA_N-224_R20-PICHINGAL 2_NR-427</v>
      </c>
      <c r="M225" s="32" t="str">
        <f>'Invest. IF'!O225</f>
        <v>Curicó</v>
      </c>
      <c r="N225" s="32">
        <f>'Invest. IF'!J225</f>
        <v>296686</v>
      </c>
      <c r="O225" s="32">
        <f>'Invest. IF'!K225</f>
        <v>6112478</v>
      </c>
    </row>
    <row r="226" spans="1:15" x14ac:dyDescent="0.2">
      <c r="A226" s="36">
        <f>'Invest. IF'!A226</f>
        <v>225</v>
      </c>
      <c r="B226" s="21" t="e">
        <f>'Invest. IF'!#REF!</f>
        <v>#REF!</v>
      </c>
      <c r="C226" s="32" t="str">
        <f>'Invest. IF'!B226</f>
        <v>Molina</v>
      </c>
      <c r="D226" s="7">
        <f>'Invest. IF'!C226</f>
        <v>408</v>
      </c>
      <c r="E226" s="32" t="str">
        <f>'Invest. IF'!D226</f>
        <v>Santa Cecilia</v>
      </c>
      <c r="F226" s="32" t="str">
        <f>'Invest. IF'!E226</f>
        <v>4.2.8</v>
      </c>
      <c r="G226" s="32" t="str">
        <f>'Invest. IF'!F226</f>
        <v>Otras causas negligentes no clasificadas en faenas agrícolas y pecuarias</v>
      </c>
      <c r="H226" s="32" t="str">
        <f>'Invest. IF'!G226</f>
        <v>4.2</v>
      </c>
      <c r="I226" s="32" t="str">
        <f>'Invest. IF'!H226</f>
        <v>Faenas agrícolas y pecuarias</v>
      </c>
      <c r="J226" s="32" t="str">
        <f>'Invest. IF'!I226</f>
        <v>Negligentes</v>
      </c>
      <c r="K226" s="32" t="str">
        <f>'Invest. IF'!M226</f>
        <v>Marzo</v>
      </c>
      <c r="L226" s="32" t="str">
        <f>'Invest. IF'!N226</f>
        <v>ITA_N-225_R20-SANTA CECILIA_NR-408</v>
      </c>
      <c r="M226" s="32" t="str">
        <f>'Invest. IF'!O226</f>
        <v>Curicó</v>
      </c>
      <c r="N226" s="32">
        <f>'Invest. IF'!J226</f>
        <v>297255</v>
      </c>
      <c r="O226" s="32">
        <f>'Invest. IF'!K226</f>
        <v>6113189</v>
      </c>
    </row>
    <row r="227" spans="1:15" x14ac:dyDescent="0.2">
      <c r="A227" s="36">
        <f>'Invest. IF'!A227</f>
        <v>226</v>
      </c>
      <c r="B227" s="21" t="e">
        <f>'Invest. IF'!#REF!</f>
        <v>#REF!</v>
      </c>
      <c r="C227" s="32" t="str">
        <f>'Invest. IF'!B227</f>
        <v>Molina</v>
      </c>
      <c r="D227" s="7">
        <f>'Invest. IF'!C227</f>
        <v>563</v>
      </c>
      <c r="E227" s="32" t="str">
        <f>'Invest. IF'!D227</f>
        <v>Yungay</v>
      </c>
      <c r="F227" s="32" t="str">
        <f>'Invest. IF'!E227</f>
        <v>2.1.5</v>
      </c>
      <c r="G227" s="32" t="str">
        <f>'Invest. IF'!F227</f>
        <v>Obtención beneficios económicos (compra de madera, presión por trabajo, robo  maderero, otros)</v>
      </c>
      <c r="H227" s="32" t="str">
        <f>'Invest. IF'!G227</f>
        <v>2.1</v>
      </c>
      <c r="I227" s="32" t="str">
        <f>'Invest. IF'!H227</f>
        <v>Incendios intencionales</v>
      </c>
      <c r="J227" s="32" t="str">
        <f>'Invest. IF'!I227</f>
        <v>Intencionales</v>
      </c>
      <c r="K227" s="32" t="str">
        <f>'Invest. IF'!M227</f>
        <v>Marzo</v>
      </c>
      <c r="L227" s="32" t="str">
        <f>'Invest. IF'!N227</f>
        <v>ITA_N-226_R20-YUNGAY_NR-563</v>
      </c>
      <c r="M227" s="32" t="str">
        <f>'Invest. IF'!O227</f>
        <v>Curicó</v>
      </c>
      <c r="N227" s="32">
        <f>'Invest. IF'!J227</f>
        <v>296052</v>
      </c>
      <c r="O227" s="32">
        <f>'Invest. IF'!K227</f>
        <v>6114278</v>
      </c>
    </row>
    <row r="228" spans="1:15" x14ac:dyDescent="0.2">
      <c r="A228" s="36">
        <f>'Invest. IF'!A228</f>
        <v>227</v>
      </c>
      <c r="B228" s="21" t="e">
        <f>'Invest. IF'!#REF!</f>
        <v>#REF!</v>
      </c>
      <c r="C228" s="32" t="str">
        <f>'Invest. IF'!B228</f>
        <v>Pencahue</v>
      </c>
      <c r="D228" s="7">
        <f>'Invest. IF'!C228</f>
        <v>486</v>
      </c>
      <c r="E228" s="32" t="str">
        <f>'Invest. IF'!D228</f>
        <v>La Peña</v>
      </c>
      <c r="F228" s="32" t="str">
        <f>'Invest. IF'!E228</f>
        <v>4.9.1</v>
      </c>
      <c r="G228" s="32" t="str">
        <f>'Invest. IF'!F228</f>
        <v>Combustión de la vegetación, producto del contacto o proximidad con el tendido eléctrico</v>
      </c>
      <c r="H228" s="32" t="str">
        <f>'Invest. IF'!G228</f>
        <v>4.9</v>
      </c>
      <c r="I228" s="32" t="str">
        <f>'Invest. IF'!H228</f>
        <v>Líneas eléctricas</v>
      </c>
      <c r="J228" s="32" t="str">
        <f>'Invest. IF'!I228</f>
        <v>Negligentes</v>
      </c>
      <c r="K228" s="32" t="str">
        <f>'Invest. IF'!M228</f>
        <v>Marzo</v>
      </c>
      <c r="L228" s="32" t="str">
        <f>'Invest. IF'!N228</f>
        <v>ITA_N-227_R20-LA PEÑA_NR-486</v>
      </c>
      <c r="M228" s="32" t="str">
        <f>'Invest. IF'!O228</f>
        <v>Talca</v>
      </c>
      <c r="N228" s="32">
        <f>'Invest. IF'!J228</f>
        <v>249622</v>
      </c>
      <c r="O228" s="32">
        <f>'Invest. IF'!K228</f>
        <v>6093544</v>
      </c>
    </row>
    <row r="229" spans="1:15" x14ac:dyDescent="0.2">
      <c r="A229" s="36">
        <f>'Invest. IF'!A229</f>
        <v>228</v>
      </c>
      <c r="B229" s="21" t="e">
        <f>'Invest. IF'!#REF!</f>
        <v>#REF!</v>
      </c>
      <c r="C229" s="32" t="str">
        <f>'Invest. IF'!B229</f>
        <v>Pencahue</v>
      </c>
      <c r="D229" s="7">
        <f>'Invest. IF'!C229</f>
        <v>446</v>
      </c>
      <c r="E229" s="32" t="str">
        <f>'Invest. IF'!D229</f>
        <v>Tutucura</v>
      </c>
      <c r="F229" s="32" t="str">
        <f>'Invest. IF'!E229</f>
        <v>5.1.1</v>
      </c>
      <c r="G229" s="32" t="str">
        <f>'Invest. IF'!F229</f>
        <v>Se investiga pero no es posible establecer la causa</v>
      </c>
      <c r="H229" s="32" t="str">
        <f>'Invest. IF'!G229</f>
        <v>5.1</v>
      </c>
      <c r="I229" s="32" t="str">
        <f>'Invest. IF'!H229</f>
        <v>Incendios de causa indeterminada</v>
      </c>
      <c r="J229" s="32" t="str">
        <f>'Invest. IF'!I229</f>
        <v>Indeterminadas</v>
      </c>
      <c r="K229" s="32" t="str">
        <f>'Invest. IF'!M229</f>
        <v>Marzo</v>
      </c>
      <c r="L229" s="32" t="str">
        <f>'Invest. IF'!N229</f>
        <v>ITA_N-228_R20-TUTUCURA_NR-446</v>
      </c>
      <c r="M229" s="32" t="str">
        <f>'Invest. IF'!O229</f>
        <v>Talca</v>
      </c>
      <c r="N229" s="32">
        <f>'Invest. IF'!J229</f>
        <v>251007</v>
      </c>
      <c r="O229" s="32">
        <f>'Invest. IF'!K229</f>
        <v>6085557</v>
      </c>
    </row>
    <row r="230" spans="1:15" x14ac:dyDescent="0.2">
      <c r="A230" s="36">
        <f>'Invest. IF'!A230</f>
        <v>229</v>
      </c>
      <c r="B230" s="21" t="e">
        <f>'Invest. IF'!#REF!</f>
        <v>#REF!</v>
      </c>
      <c r="C230" s="32" t="str">
        <f>'Invest. IF'!B230</f>
        <v>Pencahue</v>
      </c>
      <c r="D230" s="7">
        <f>'Invest. IF'!C230</f>
        <v>600</v>
      </c>
      <c r="E230" s="32" t="str">
        <f>'Invest. IF'!D230</f>
        <v>El Peral</v>
      </c>
      <c r="F230" s="32" t="str">
        <f>'Invest. IF'!E230</f>
        <v>4.6.1</v>
      </c>
      <c r="G230" s="32" t="str">
        <f>'Invest. IF'!F230</f>
        <v>Generado por el uso de equipos o herramientas con fines de construcción, limpieza o montaje de estructuras</v>
      </c>
      <c r="H230" s="32" t="str">
        <f>'Invest. IF'!G230</f>
        <v>4.6</v>
      </c>
      <c r="I230" s="32" t="str">
        <f>'Invest. IF'!H230</f>
        <v>Parcelaciones, edificaciones residenciales, industriales u otras en zonas rurales o de interfaz</v>
      </c>
      <c r="J230" s="32" t="str">
        <f>'Invest. IF'!I230</f>
        <v>Negligentes</v>
      </c>
      <c r="K230" s="32" t="str">
        <f>'Invest. IF'!M230</f>
        <v>Marzo</v>
      </c>
      <c r="L230" s="32" t="str">
        <f>'Invest. IF'!N230</f>
        <v>ITA_N-229_R20-EL PERAL_NR-600</v>
      </c>
      <c r="M230" s="32" t="str">
        <f>'Invest. IF'!O230</f>
        <v>Talca</v>
      </c>
      <c r="N230" s="32">
        <f>'Invest. IF'!J230</f>
        <v>244933</v>
      </c>
      <c r="O230" s="32">
        <f>'Invest. IF'!K230</f>
        <v>6078215</v>
      </c>
    </row>
    <row r="231" spans="1:15" x14ac:dyDescent="0.2">
      <c r="A231" s="36">
        <f>'Invest. IF'!A231</f>
        <v>230</v>
      </c>
      <c r="B231" s="21" t="e">
        <f>'Invest. IF'!#REF!</f>
        <v>#REF!</v>
      </c>
      <c r="C231" s="32" t="str">
        <f>'Invest. IF'!B231</f>
        <v>Maule</v>
      </c>
      <c r="D231" s="7">
        <f>'Invest. IF'!C231</f>
        <v>543</v>
      </c>
      <c r="E231" s="32" t="str">
        <f>'Invest. IF'!D231</f>
        <v>Cruce La Cantera</v>
      </c>
      <c r="F231" s="32" t="str">
        <f>'Invest. IF'!E231</f>
        <v>4.10.12</v>
      </c>
      <c r="G231" s="32" t="str">
        <f>'Invest. IF'!F231</f>
        <v>Otras actividades negligentes no clasificadas</v>
      </c>
      <c r="H231" s="32" t="str">
        <f>'Invest. IF'!G231</f>
        <v>4.10</v>
      </c>
      <c r="I231" s="32" t="str">
        <f>'Invest. IF'!H231</f>
        <v>Otras causas</v>
      </c>
      <c r="J231" s="32" t="str">
        <f>'Invest. IF'!I231</f>
        <v>Negligentes</v>
      </c>
      <c r="K231" s="32" t="str">
        <f>'Invest. IF'!M231</f>
        <v>Abril</v>
      </c>
      <c r="L231" s="32" t="str">
        <f>'Invest. IF'!N231</f>
        <v>ITA_N-230_R20-CRUCE LA CANTERA_NR-543</v>
      </c>
      <c r="M231" s="32" t="str">
        <f>'Invest. IF'!O231</f>
        <v>Talca</v>
      </c>
      <c r="N231" s="32">
        <f>'Invest. IF'!J231</f>
        <v>255549</v>
      </c>
      <c r="O231" s="32">
        <f>'Invest. IF'!K231</f>
        <v>6062521</v>
      </c>
    </row>
    <row r="232" spans="1:15" x14ac:dyDescent="0.2">
      <c r="A232" s="36">
        <f>'Invest. IF'!A232</f>
        <v>231</v>
      </c>
      <c r="B232" s="21" t="e">
        <f>'Invest. IF'!#REF!</f>
        <v>#REF!</v>
      </c>
      <c r="C232" s="32" t="str">
        <f>'Invest. IF'!B232</f>
        <v>Maule</v>
      </c>
      <c r="D232" s="7">
        <f>'Invest. IF'!C232</f>
        <v>319</v>
      </c>
      <c r="E232" s="32" t="str">
        <f>'Invest. IF'!D232</f>
        <v>Chacarillas norte</v>
      </c>
      <c r="F232" s="32" t="str">
        <f>'Invest. IF'!E232</f>
        <v>4.10.12</v>
      </c>
      <c r="G232" s="32" t="str">
        <f>'Invest. IF'!F232</f>
        <v>Otras actividades negligentes no clasificadas</v>
      </c>
      <c r="H232" s="32" t="str">
        <f>'Invest. IF'!G232</f>
        <v>4.10</v>
      </c>
      <c r="I232" s="32" t="str">
        <f>'Invest. IF'!H232</f>
        <v>Otras causas</v>
      </c>
      <c r="J232" s="32" t="str">
        <f>'Invest. IF'!I232</f>
        <v>Negligentes</v>
      </c>
      <c r="K232" s="32" t="str">
        <f>'Invest. IF'!M232</f>
        <v>Abril</v>
      </c>
      <c r="L232" s="32" t="str">
        <f>'Invest. IF'!N232</f>
        <v>ITA_N-231_R20-CHACARILLAS NORTE_NR-319</v>
      </c>
      <c r="M232" s="32" t="str">
        <f>'Invest. IF'!O232</f>
        <v>Talca</v>
      </c>
      <c r="N232" s="32">
        <f>'Invest. IF'!J232</f>
        <v>259352</v>
      </c>
      <c r="O232" s="32">
        <f>'Invest. IF'!K232</f>
        <v>6071540</v>
      </c>
    </row>
    <row r="233" spans="1:15" x14ac:dyDescent="0.2">
      <c r="A233" s="36">
        <f>'Invest. IF'!A233</f>
        <v>232</v>
      </c>
      <c r="B233" s="21" t="e">
        <f>'Invest. IF'!#REF!</f>
        <v>#REF!</v>
      </c>
      <c r="C233" s="32" t="str">
        <f>'Invest. IF'!B233</f>
        <v>Curicó</v>
      </c>
      <c r="D233" s="7">
        <f>'Invest. IF'!C233</f>
        <v>509</v>
      </c>
      <c r="E233" s="32" t="str">
        <f>'Invest. IF'!D233</f>
        <v>Santa Susana</v>
      </c>
      <c r="F233" s="32" t="str">
        <f>'Invest. IF'!E233</f>
        <v>4.2.8</v>
      </c>
      <c r="G233" s="32" t="str">
        <f>'Invest. IF'!F233</f>
        <v>Otras causas negligentes no clasificadas en faenas agrícolas y pecuarias</v>
      </c>
      <c r="H233" s="32" t="str">
        <f>'Invest. IF'!G233</f>
        <v>4.2</v>
      </c>
      <c r="I233" s="32" t="str">
        <f>'Invest. IF'!H233</f>
        <v>Faenas agrícolas y pecuarias</v>
      </c>
      <c r="J233" s="32" t="str">
        <f>'Invest. IF'!I233</f>
        <v>Negligentes</v>
      </c>
      <c r="K233" s="32" t="str">
        <f>'Invest. IF'!M233</f>
        <v>Abril</v>
      </c>
      <c r="L233" s="32" t="str">
        <f>'Invest. IF'!N233</f>
        <v>ITA_N-232_R20-SANTA SUSANA_NR-509</v>
      </c>
      <c r="M233" s="32" t="str">
        <f>'Invest. IF'!O233</f>
        <v>Curicó</v>
      </c>
      <c r="N233" s="32">
        <f>'Invest. IF'!J233</f>
        <v>290205</v>
      </c>
      <c r="O233" s="32">
        <f>'Invest. IF'!K233</f>
        <v>6127676</v>
      </c>
    </row>
    <row r="234" spans="1:15" x14ac:dyDescent="0.2">
      <c r="A234" s="36">
        <f>'Invest. IF'!A234</f>
        <v>233</v>
      </c>
      <c r="B234" s="21" t="e">
        <f>'Invest. IF'!#REF!</f>
        <v>#REF!</v>
      </c>
      <c r="C234" s="32" t="str">
        <f>'Invest. IF'!B234</f>
        <v>Curicó</v>
      </c>
      <c r="D234" s="7">
        <f>'Invest. IF'!C234</f>
        <v>477</v>
      </c>
      <c r="E234" s="32" t="str">
        <f>'Invest. IF'!D234</f>
        <v>Guaico Bajo</v>
      </c>
      <c r="F234" s="32" t="str">
        <f>'Invest. IF'!E234</f>
        <v>4.2.8</v>
      </c>
      <c r="G234" s="32" t="str">
        <f>'Invest. IF'!F234</f>
        <v>Otras causas negligentes no clasificadas en faenas agrícolas y pecuarias</v>
      </c>
      <c r="H234" s="32" t="str">
        <f>'Invest. IF'!G234</f>
        <v>4.2</v>
      </c>
      <c r="I234" s="32" t="str">
        <f>'Invest. IF'!H234</f>
        <v>Faenas agrícolas y pecuarias</v>
      </c>
      <c r="J234" s="32" t="str">
        <f>'Invest. IF'!I234</f>
        <v>Negligentes</v>
      </c>
      <c r="K234" s="32" t="str">
        <f>'Invest. IF'!M234</f>
        <v>Abril</v>
      </c>
      <c r="L234" s="32" t="str">
        <f>'Invest. IF'!N234</f>
        <v>ITA_N-233_R20-GUAICO BAJO_NR-477</v>
      </c>
      <c r="M234" s="32" t="str">
        <f>'Invest. IF'!O234</f>
        <v>Curicó</v>
      </c>
      <c r="N234" s="32">
        <f>'Invest. IF'!J234</f>
        <v>309490</v>
      </c>
      <c r="O234" s="32">
        <f>'Invest. IF'!K234</f>
        <v>6133038</v>
      </c>
    </row>
    <row r="235" spans="1:15" x14ac:dyDescent="0.2">
      <c r="A235" s="36">
        <f>'Invest. IF'!A235</f>
        <v>234</v>
      </c>
      <c r="B235" s="21" t="e">
        <f>'Invest. IF'!#REF!</f>
        <v>#REF!</v>
      </c>
      <c r="C235" s="32" t="str">
        <f>'Invest. IF'!B235</f>
        <v>Sagrada Familia</v>
      </c>
      <c r="D235" s="7">
        <f>'Invest. IF'!C235</f>
        <v>517</v>
      </c>
      <c r="E235" s="32" t="str">
        <f>'Invest. IF'!D235</f>
        <v>Requingua</v>
      </c>
      <c r="F235" s="32" t="str">
        <f>'Invest. IF'!E235</f>
        <v>4.9.5</v>
      </c>
      <c r="G235" s="32" t="str">
        <f>'Invest. IF'!F235</f>
        <v>Otras causas eléctricas negligentes no  clasificadas</v>
      </c>
      <c r="H235" s="32" t="str">
        <f>'Invest. IF'!G235</f>
        <v>4.9</v>
      </c>
      <c r="I235" s="32" t="str">
        <f>'Invest. IF'!H235</f>
        <v>Líneas eléctricas</v>
      </c>
      <c r="J235" s="32" t="str">
        <f>'Invest. IF'!I235</f>
        <v>Negligentes</v>
      </c>
      <c r="K235" s="32" t="str">
        <f>'Invest. IF'!M235</f>
        <v>Abril</v>
      </c>
      <c r="L235" s="32" t="str">
        <f>'Invest. IF'!N235</f>
        <v>ITA_N-234_R20-REQUINGUA_NR-517</v>
      </c>
      <c r="M235" s="32" t="str">
        <f>'Invest. IF'!O235</f>
        <v>Curicó</v>
      </c>
      <c r="N235" s="32">
        <f>'Invest. IF'!J235</f>
        <v>286529</v>
      </c>
      <c r="O235" s="32">
        <f>'Invest. IF'!K235</f>
        <v>6120376</v>
      </c>
    </row>
    <row r="236" spans="1:15" x14ac:dyDescent="0.2">
      <c r="A236" s="36">
        <f>'Invest. IF'!A236</f>
        <v>235</v>
      </c>
      <c r="B236" s="21" t="e">
        <f>'Invest. IF'!#REF!</f>
        <v>#REF!</v>
      </c>
      <c r="C236" s="32" t="str">
        <f>'Invest. IF'!B236</f>
        <v>Sagrada Familia</v>
      </c>
      <c r="D236" s="7">
        <f>'Invest. IF'!C236</f>
        <v>462</v>
      </c>
      <c r="E236" s="32" t="str">
        <f>'Invest. IF'!D236</f>
        <v>Trapiche</v>
      </c>
      <c r="F236" s="32" t="str">
        <f>'Invest. IF'!E236</f>
        <v>4.2.8</v>
      </c>
      <c r="G236" s="32" t="str">
        <f>'Invest. IF'!F236</f>
        <v>Otras causas negligentes no clasificadas en faenas agrícolas y pecuarias</v>
      </c>
      <c r="H236" s="32" t="str">
        <f>'Invest. IF'!G236</f>
        <v>4.2</v>
      </c>
      <c r="I236" s="32" t="str">
        <f>'Invest. IF'!H236</f>
        <v>Faenas agrícolas y pecuarias</v>
      </c>
      <c r="J236" s="32" t="str">
        <f>'Invest. IF'!I236</f>
        <v>Negligentes</v>
      </c>
      <c r="K236" s="32" t="str">
        <f>'Invest. IF'!M236</f>
        <v>Abril</v>
      </c>
      <c r="L236" s="32" t="str">
        <f>'Invest. IF'!N236</f>
        <v>ITA_N-235_R20-TRAPICHE_NR-462</v>
      </c>
      <c r="M236" s="32" t="str">
        <f>'Invest. IF'!O236</f>
        <v>Curicó</v>
      </c>
      <c r="N236" s="32">
        <f>'Invest. IF'!J236</f>
        <v>290121</v>
      </c>
      <c r="O236" s="32">
        <f>'Invest. IF'!K236</f>
        <v>6122874</v>
      </c>
    </row>
    <row r="237" spans="1:15" x14ac:dyDescent="0.2">
      <c r="A237" s="36">
        <f>'Invest. IF'!A237</f>
        <v>236</v>
      </c>
      <c r="B237" s="21" t="e">
        <f>'Invest. IF'!#REF!</f>
        <v>#REF!</v>
      </c>
      <c r="C237" s="32" t="str">
        <f>'Invest. IF'!B237</f>
        <v>Romeral</v>
      </c>
      <c r="D237" s="7">
        <f>'Invest. IF'!C237</f>
        <v>625</v>
      </c>
      <c r="E237" s="32" t="str">
        <f>'Invest. IF'!D237</f>
        <v>Guaico uno</v>
      </c>
      <c r="F237" s="32" t="str">
        <f>'Invest. IF'!E237</f>
        <v>4.2.8</v>
      </c>
      <c r="G237" s="32" t="str">
        <f>'Invest. IF'!F237</f>
        <v>Otras causas negligentes no clasificadas en faenas agrícolas y pecuarias</v>
      </c>
      <c r="H237" s="32" t="str">
        <f>'Invest. IF'!G237</f>
        <v>4.2</v>
      </c>
      <c r="I237" s="32" t="str">
        <f>'Invest. IF'!H237</f>
        <v>Faenas agrícolas y pecuarias</v>
      </c>
      <c r="J237" s="32" t="str">
        <f>'Invest. IF'!I237</f>
        <v>Negligentes</v>
      </c>
      <c r="K237" s="32" t="str">
        <f>'Invest. IF'!M237</f>
        <v>Abril</v>
      </c>
      <c r="L237" s="32" t="str">
        <f>'Invest. IF'!N237</f>
        <v>ITA_N-236_R20-GUAICO UNO_NR-625</v>
      </c>
      <c r="M237" s="32" t="str">
        <f>'Invest. IF'!O237</f>
        <v>Curicó</v>
      </c>
      <c r="N237" s="32">
        <f>'Invest. IF'!J237</f>
        <v>311006</v>
      </c>
      <c r="O237" s="32">
        <f>'Invest. IF'!K237</f>
        <v>6132322</v>
      </c>
    </row>
    <row r="238" spans="1:15" x14ac:dyDescent="0.2">
      <c r="A238" s="36">
        <f>'Invest. IF'!A238</f>
        <v>237</v>
      </c>
      <c r="B238" s="21" t="e">
        <f>'Invest. IF'!#REF!</f>
        <v>#REF!</v>
      </c>
      <c r="C238" s="32" t="str">
        <f>'Invest. IF'!B238</f>
        <v>Pelluhue</v>
      </c>
      <c r="D238" s="7">
        <f>'Invest. IF'!C238</f>
        <v>510</v>
      </c>
      <c r="E238" s="32" t="str">
        <f>'Invest. IF'!D238</f>
        <v>El Manzano</v>
      </c>
      <c r="F238" s="32" t="str">
        <f>'Invest. IF'!E238</f>
        <v>4.6.1</v>
      </c>
      <c r="G238" s="32" t="str">
        <f>'Invest. IF'!F238</f>
        <v>Generado por el uso de equipos o herramientas con fines de construcción, limpieza o montaje de estructuras</v>
      </c>
      <c r="H238" s="32" t="str">
        <f>'Invest. IF'!G238</f>
        <v>4.6</v>
      </c>
      <c r="I238" s="32" t="str">
        <f>'Invest. IF'!H238</f>
        <v>Parcelaciones, edificaciones residenciales, industriales u otras en zonas rurales o de interfaz</v>
      </c>
      <c r="J238" s="32" t="str">
        <f>'Invest. IF'!I238</f>
        <v>Negligentes</v>
      </c>
      <c r="K238" s="32" t="str">
        <f>'Invest. IF'!M238</f>
        <v>Abril</v>
      </c>
      <c r="L238" s="32" t="str">
        <f>'Invest. IF'!N238</f>
        <v>ITA_N-237_R20-EL MANZANO_NR-510</v>
      </c>
      <c r="M238" s="32" t="str">
        <f>'Invest. IF'!O238</f>
        <v>Cauquenes</v>
      </c>
      <c r="N238" s="32">
        <f>'Invest. IF'!J238</f>
        <v>720300</v>
      </c>
      <c r="O238" s="32">
        <f>'Invest. IF'!K238</f>
        <v>6033844</v>
      </c>
    </row>
    <row r="239" spans="1:15" x14ac:dyDescent="0.2">
      <c r="A239" s="36">
        <f>'Invest. IF'!A239</f>
        <v>238</v>
      </c>
      <c r="B239" s="21" t="e">
        <f>'Invest. IF'!#REF!</f>
        <v>#REF!</v>
      </c>
      <c r="C239" s="32" t="str">
        <f>'Invest. IF'!B239</f>
        <v>Cauquenes</v>
      </c>
      <c r="D239" s="7">
        <f>'Invest. IF'!C239</f>
        <v>488</v>
      </c>
      <c r="E239" s="32" t="str">
        <f>'Invest. IF'!D239</f>
        <v>Tabolguen 7</v>
      </c>
      <c r="F239" s="32" t="str">
        <f>'Invest. IF'!E239</f>
        <v>2.1.5</v>
      </c>
      <c r="G239" s="32" t="str">
        <f>'Invest. IF'!F239</f>
        <v>Obtención beneficios económicos (compra de madera, presión por trabajo, robo  maderero, otros)</v>
      </c>
      <c r="H239" s="32" t="str">
        <f>'Invest. IF'!G239</f>
        <v>2.1</v>
      </c>
      <c r="I239" s="32" t="str">
        <f>'Invest. IF'!H239</f>
        <v>Incendios intencionales</v>
      </c>
      <c r="J239" s="32" t="str">
        <f>'Invest. IF'!I239</f>
        <v>Intencionales</v>
      </c>
      <c r="K239" s="32" t="str">
        <f>'Invest. IF'!M239</f>
        <v>Abril</v>
      </c>
      <c r="L239" s="32" t="str">
        <f>'Invest. IF'!N239</f>
        <v>ITA_N-238_R20-TABOLGUEN 7_NR-488</v>
      </c>
      <c r="M239" s="32" t="str">
        <f>'Invest. IF'!O239</f>
        <v>Cauquenes</v>
      </c>
      <c r="N239" s="32">
        <f>'Invest. IF'!J239</f>
        <v>736520</v>
      </c>
      <c r="O239" s="32">
        <f>'Invest. IF'!K239</f>
        <v>6022711</v>
      </c>
    </row>
    <row r="240" spans="1:15" x14ac:dyDescent="0.2">
      <c r="A240" s="36">
        <f>'Invest. IF'!A240</f>
        <v>239</v>
      </c>
      <c r="B240" s="21" t="e">
        <f>'Invest. IF'!#REF!</f>
        <v>#REF!</v>
      </c>
      <c r="C240" s="32" t="str">
        <f>'Invest. IF'!B240</f>
        <v>Cauquenes</v>
      </c>
      <c r="D240" s="7">
        <f>'Invest. IF'!C240</f>
        <v>497</v>
      </c>
      <c r="E240" s="32" t="str">
        <f>'Invest. IF'!D240</f>
        <v>Tabolguen 8</v>
      </c>
      <c r="F240" s="32" t="str">
        <f>'Invest. IF'!E240</f>
        <v>2.1.5</v>
      </c>
      <c r="G240" s="32" t="str">
        <f>'Invest. IF'!F240</f>
        <v>Obtención beneficios económicos (compra de madera, presión por trabajo, robo  maderero, otros)</v>
      </c>
      <c r="H240" s="32" t="str">
        <f>'Invest. IF'!G240</f>
        <v>2.1</v>
      </c>
      <c r="I240" s="32" t="str">
        <f>'Invest. IF'!H240</f>
        <v>Incendios intencionales</v>
      </c>
      <c r="J240" s="32" t="str">
        <f>'Invest. IF'!I240</f>
        <v>Intencionales</v>
      </c>
      <c r="K240" s="32" t="str">
        <f>'Invest. IF'!M240</f>
        <v>Abril</v>
      </c>
      <c r="L240" s="32" t="str">
        <f>'Invest. IF'!N240</f>
        <v>ITA_N-239_R20-TABOLGUEN 8_NR-497</v>
      </c>
      <c r="M240" s="32" t="str">
        <f>'Invest. IF'!O240</f>
        <v>Cauquenes</v>
      </c>
      <c r="N240" s="32">
        <f>'Invest. IF'!J240</f>
        <v>736485</v>
      </c>
      <c r="O240" s="32">
        <f>'Invest. IF'!K240</f>
        <v>6022677</v>
      </c>
    </row>
    <row r="241" spans="1:15" x14ac:dyDescent="0.2">
      <c r="A241" s="36">
        <f>'Invest. IF'!A241</f>
        <v>240</v>
      </c>
      <c r="B241" s="21" t="e">
        <f>'Invest. IF'!#REF!</f>
        <v>#REF!</v>
      </c>
      <c r="C241" s="32" t="str">
        <f>'Invest. IF'!B241</f>
        <v>Cauquenes</v>
      </c>
      <c r="D241" s="7">
        <f>'Invest. IF'!C241</f>
        <v>523</v>
      </c>
      <c r="E241" s="32" t="str">
        <f>'Invest. IF'!D241</f>
        <v>Tabolguen 9</v>
      </c>
      <c r="F241" s="32" t="str">
        <f>'Invest. IF'!E241</f>
        <v>2.1.5</v>
      </c>
      <c r="G241" s="32" t="str">
        <f>'Invest. IF'!F241</f>
        <v>Obtención beneficios económicos (compra de madera, presión por trabajo, robo  maderero, otros)</v>
      </c>
      <c r="H241" s="32" t="str">
        <f>'Invest. IF'!G241</f>
        <v>2.1</v>
      </c>
      <c r="I241" s="32" t="str">
        <f>'Invest. IF'!H241</f>
        <v>Incendios intencionales</v>
      </c>
      <c r="J241" s="32" t="str">
        <f>'Invest. IF'!I241</f>
        <v>Intencionales</v>
      </c>
      <c r="K241" s="32" t="str">
        <f>'Invest. IF'!M241</f>
        <v>Abril</v>
      </c>
      <c r="L241" s="32" t="str">
        <f>'Invest. IF'!N241</f>
        <v>ITA_N-240_R20-TABOLGUEN 9_NR-523</v>
      </c>
      <c r="M241" s="32" t="str">
        <f>'Invest. IF'!O241</f>
        <v>Cauquenes</v>
      </c>
      <c r="N241" s="32">
        <f>'Invest. IF'!J241</f>
        <v>736527</v>
      </c>
      <c r="O241" s="32">
        <f>'Invest. IF'!K241</f>
        <v>6022758</v>
      </c>
    </row>
    <row r="242" spans="1:15" x14ac:dyDescent="0.2">
      <c r="A242" s="36">
        <f>'Invest. IF'!A242</f>
        <v>241</v>
      </c>
      <c r="B242" s="21" t="e">
        <f>'Invest. IF'!#REF!</f>
        <v>#REF!</v>
      </c>
      <c r="C242" s="32" t="str">
        <f>'Invest. IF'!B242</f>
        <v>Teno</v>
      </c>
      <c r="D242" s="7">
        <f>'Invest. IF'!C242</f>
        <v>580</v>
      </c>
      <c r="E242" s="32" t="str">
        <f>'Invest. IF'!D242</f>
        <v>San Juan</v>
      </c>
      <c r="F242" s="32" t="str">
        <f>'Invest. IF'!E242</f>
        <v>1.6.1</v>
      </c>
      <c r="G242" s="32" t="str">
        <f>'Invest. IF'!F242</f>
        <v>Incendio estructural</v>
      </c>
      <c r="H242" s="32" t="str">
        <f>'Invest. IF'!G242</f>
        <v>1.6</v>
      </c>
      <c r="I242" s="32" t="str">
        <f>'Invest. IF'!H242</f>
        <v>Parcelaciones, edificaciones residenciales, industriales u otras en zonas rurales o de interfaz</v>
      </c>
      <c r="J242" s="32" t="str">
        <f>'Invest. IF'!I242</f>
        <v>Accidentales</v>
      </c>
      <c r="K242" s="32" t="str">
        <f>'Invest. IF'!M242</f>
        <v>Abril</v>
      </c>
      <c r="L242" s="32" t="str">
        <f>'Invest. IF'!N242</f>
        <v>ITA_N-241_R20-SAN JUAN_NR-580</v>
      </c>
      <c r="M242" s="32" t="str">
        <f>'Invest. IF'!O242</f>
        <v>Curicó</v>
      </c>
      <c r="N242" s="32">
        <f>'Invest. IF'!J242</f>
        <v>314214</v>
      </c>
      <c r="O242" s="32">
        <f>'Invest. IF'!K242</f>
        <v>6139658</v>
      </c>
    </row>
    <row r="243" spans="1:15" x14ac:dyDescent="0.2">
      <c r="A243" s="36">
        <f>'Invest. IF'!A243</f>
        <v>242</v>
      </c>
      <c r="B243" s="21" t="e">
        <f>'Invest. IF'!#REF!</f>
        <v>#REF!</v>
      </c>
      <c r="C243" s="32" t="str">
        <f>'Invest. IF'!B243</f>
        <v>Teno</v>
      </c>
      <c r="D243" s="7">
        <f>'Invest. IF'!C243</f>
        <v>539</v>
      </c>
      <c r="E243" s="32" t="str">
        <f>'Invest. IF'!D243</f>
        <v>Rincón de San Carlos 2</v>
      </c>
      <c r="F243" s="32" t="str">
        <f>'Invest. IF'!E243</f>
        <v>4.6.1</v>
      </c>
      <c r="G243" s="32" t="str">
        <f>'Invest. IF'!F243</f>
        <v>Generado por el uso de equipos o herramientas con fines de construcción, limpieza o montaje de estructuras</v>
      </c>
      <c r="H243" s="32" t="str">
        <f>'Invest. IF'!G243</f>
        <v>4.6</v>
      </c>
      <c r="I243" s="32" t="str">
        <f>'Invest. IF'!H243</f>
        <v>Parcelaciones, edificaciones residenciales, industriales u otras en zonas rurales o de interfaz</v>
      </c>
      <c r="J243" s="32" t="str">
        <f>'Invest. IF'!I243</f>
        <v>Negligentes</v>
      </c>
      <c r="K243" s="32" t="str">
        <f>'Invest. IF'!M243</f>
        <v>Abril</v>
      </c>
      <c r="L243" s="32" t="str">
        <f>'Invest. IF'!N243</f>
        <v>ITA_N-242_R20-RINCON DE SAN CARLOS 2_NR-539</v>
      </c>
      <c r="M243" s="32" t="str">
        <f>'Invest. IF'!O243</f>
        <v>Curicó</v>
      </c>
      <c r="N243" s="32">
        <f>'Invest. IF'!J243</f>
        <v>318631</v>
      </c>
      <c r="O243" s="32">
        <f>'Invest. IF'!K243</f>
        <v>6133732</v>
      </c>
    </row>
    <row r="244" spans="1:15" x14ac:dyDescent="0.2">
      <c r="A244" s="36">
        <f>'Invest. IF'!A244</f>
        <v>243</v>
      </c>
      <c r="B244" s="21" t="e">
        <f>'Invest. IF'!#REF!</f>
        <v>#REF!</v>
      </c>
      <c r="C244" s="32" t="str">
        <f>'Invest. IF'!B244</f>
        <v>Cauquenes</v>
      </c>
      <c r="D244" s="7">
        <f>'Invest. IF'!C244</f>
        <v>172</v>
      </c>
      <c r="E244" s="32" t="str">
        <f>'Invest. IF'!D244</f>
        <v>Las Margaritas</v>
      </c>
      <c r="F244" s="32" t="str">
        <f>'Invest. IF'!E244</f>
        <v>4.6.5</v>
      </c>
      <c r="G244" s="32" t="str">
        <f>'Invest. IF'!F244</f>
        <v>Empleo de fuentes de calor en actividades relacionadas a parcelaciones (asados, tijerales, fogatas, otros)</v>
      </c>
      <c r="H244" s="32" t="str">
        <f>'Invest. IF'!G244</f>
        <v>4.6</v>
      </c>
      <c r="I244" s="32" t="str">
        <f>'Invest. IF'!H244</f>
        <v>Parcelaciones, edificaciones residenciales, industriales u otras en zonas rurales o de interfaz</v>
      </c>
      <c r="J244" s="32" t="str">
        <f>'Invest. IF'!I244</f>
        <v>Negligentes</v>
      </c>
      <c r="K244" s="32" t="str">
        <f>'Invest. IF'!M244</f>
        <v>Abril</v>
      </c>
      <c r="L244" s="32" t="str">
        <f>'Invest. IF'!N244</f>
        <v>ITA_N-243_R20-LAS MARGARITAS_NR-172</v>
      </c>
      <c r="M244" s="32" t="str">
        <f>'Invest. IF'!O244</f>
        <v>Cauquenes</v>
      </c>
      <c r="N244" s="32">
        <f>'Invest. IF'!J244</f>
        <v>738996</v>
      </c>
      <c r="O244" s="32">
        <f>'Invest. IF'!K244</f>
        <v>6013538</v>
      </c>
    </row>
    <row r="245" spans="1:15" x14ac:dyDescent="0.2">
      <c r="A245" s="36">
        <f>'Invest. IF'!A245</f>
        <v>244</v>
      </c>
      <c r="B245" s="21" t="e">
        <f>'Invest. IF'!#REF!</f>
        <v>#REF!</v>
      </c>
      <c r="C245" s="32" t="str">
        <f>'Invest. IF'!B245</f>
        <v>Cauquenes</v>
      </c>
      <c r="D245" s="7">
        <f>'Invest. IF'!C245</f>
        <v>368</v>
      </c>
      <c r="E245" s="32" t="str">
        <f>'Invest. IF'!D245</f>
        <v>Las Margaritas</v>
      </c>
      <c r="F245" s="32" t="str">
        <f>'Invest. IF'!E245</f>
        <v>4.6.1</v>
      </c>
      <c r="G245" s="32" t="str">
        <f>'Invest. IF'!F245</f>
        <v>Generado por el uso de equipos o herramientas con fines de construcción, limpieza o montaje de estructuras</v>
      </c>
      <c r="H245" s="32" t="str">
        <f>'Invest. IF'!G245</f>
        <v>4.6</v>
      </c>
      <c r="I245" s="32" t="str">
        <f>'Invest. IF'!H245</f>
        <v>Parcelaciones, edificaciones residenciales, industriales u otras en zonas rurales o de interfaz</v>
      </c>
      <c r="J245" s="32" t="str">
        <f>'Invest. IF'!I245</f>
        <v>Negligentes</v>
      </c>
      <c r="K245" s="32" t="str">
        <f>'Invest. IF'!M245</f>
        <v>Abril</v>
      </c>
      <c r="L245" s="32" t="str">
        <f>'Invest. IF'!N245</f>
        <v>ITA_N-244_R20-LAS MARGARITAS_NR-368</v>
      </c>
      <c r="M245" s="32" t="str">
        <f>'Invest. IF'!O245</f>
        <v>Cauquenes</v>
      </c>
      <c r="N245" s="32">
        <f>'Invest. IF'!J245</f>
        <v>739456</v>
      </c>
      <c r="O245" s="32">
        <f>'Invest. IF'!K245</f>
        <v>6014450</v>
      </c>
    </row>
    <row r="246" spans="1:15" x14ac:dyDescent="0.2">
      <c r="A246" s="36">
        <f>'Invest. IF'!A246</f>
        <v>245</v>
      </c>
      <c r="B246" s="21" t="e">
        <f>'Invest. IF'!#REF!</f>
        <v>#REF!</v>
      </c>
      <c r="C246" s="32" t="str">
        <f>'Invest. IF'!B246</f>
        <v>Cauquenes</v>
      </c>
      <c r="D246" s="7">
        <f>'Invest. IF'!C246</f>
        <v>345</v>
      </c>
      <c r="E246" s="32" t="str">
        <f>'Invest. IF'!D246</f>
        <v>Puente Tequeral</v>
      </c>
      <c r="F246" s="32" t="str">
        <f>'Invest. IF'!E246</f>
        <v>2.1.1</v>
      </c>
      <c r="G246" s="32" t="str">
        <f>'Invest. IF'!F246</f>
        <v>Provocado, no se identifica la motivación</v>
      </c>
      <c r="H246" s="32" t="str">
        <f>'Invest. IF'!G246</f>
        <v>2.1</v>
      </c>
      <c r="I246" s="32" t="str">
        <f>'Invest. IF'!H246</f>
        <v>Incendios intencionales</v>
      </c>
      <c r="J246" s="32" t="str">
        <f>'Invest. IF'!I246</f>
        <v>Intencionales</v>
      </c>
      <c r="K246" s="32" t="str">
        <f>'Invest. IF'!M246</f>
        <v>Abril</v>
      </c>
      <c r="L246" s="32" t="str">
        <f>'Invest. IF'!N246</f>
        <v>ITA_N-245_R20-PUENTE TEQUERAL_NR-345</v>
      </c>
      <c r="M246" s="32" t="str">
        <f>'Invest. IF'!O246</f>
        <v>Cauquenes</v>
      </c>
      <c r="N246" s="32">
        <f>'Invest. IF'!J246</f>
        <v>742506</v>
      </c>
      <c r="O246" s="32">
        <f>'Invest. IF'!K246</f>
        <v>6013363</v>
      </c>
    </row>
    <row r="247" spans="1:15" x14ac:dyDescent="0.2">
      <c r="A247" s="36">
        <f>'Invest. IF'!A247</f>
        <v>246</v>
      </c>
      <c r="B247" s="21" t="e">
        <f>'Invest. IF'!#REF!</f>
        <v>#REF!</v>
      </c>
      <c r="C247" s="32" t="str">
        <f>'Invest. IF'!B247</f>
        <v>San Javier</v>
      </c>
      <c r="D247" s="7">
        <f>'Invest. IF'!C247</f>
        <v>374</v>
      </c>
      <c r="E247" s="32" t="str">
        <f>'Invest. IF'!D247</f>
        <v>Pataguilla</v>
      </c>
      <c r="F247" s="32" t="str">
        <f>'Invest. IF'!E247</f>
        <v>4.1.3</v>
      </c>
      <c r="G247" s="32" t="str">
        <f>'Invest. IF'!F247</f>
        <v>Contacto o corte de conductor eléctrico producto de faena forestal</v>
      </c>
      <c r="H247" s="32" t="str">
        <f>'Invest. IF'!G247</f>
        <v>4.1</v>
      </c>
      <c r="I247" s="32" t="str">
        <f>'Invest. IF'!H247</f>
        <v>Faenas forestales</v>
      </c>
      <c r="J247" s="32" t="str">
        <f>'Invest. IF'!I247</f>
        <v>Negligentes</v>
      </c>
      <c r="K247" s="32" t="str">
        <f>'Invest. IF'!M247</f>
        <v>Abril</v>
      </c>
      <c r="L247" s="32" t="str">
        <f>'Invest. IF'!N247</f>
        <v>ITA_N-246_R20-PATAGUILLA_NR-374</v>
      </c>
      <c r="M247" s="32" t="str">
        <f>'Invest. IF'!O247</f>
        <v>Linares</v>
      </c>
      <c r="N247" s="32">
        <f>'Invest. IF'!J247</f>
        <v>767344</v>
      </c>
      <c r="O247" s="32">
        <f>'Invest. IF'!K247</f>
        <v>6055902</v>
      </c>
    </row>
    <row r="248" spans="1:15" x14ac:dyDescent="0.2">
      <c r="A248" s="36">
        <f>'Invest. IF'!A248</f>
        <v>247</v>
      </c>
      <c r="B248" s="21" t="e">
        <f>'Invest. IF'!#REF!</f>
        <v>#REF!</v>
      </c>
      <c r="C248" s="32" t="str">
        <f>'Invest. IF'!B248</f>
        <v>Hualañé</v>
      </c>
      <c r="D248" s="7">
        <f>'Invest. IF'!C248</f>
        <v>390</v>
      </c>
      <c r="E248" s="32" t="str">
        <f>'Invest. IF'!D248</f>
        <v>La Huerta</v>
      </c>
      <c r="F248" s="32" t="str">
        <f>'Invest. IF'!E248</f>
        <v>4.6.1</v>
      </c>
      <c r="G248" s="32" t="str">
        <f>'Invest. IF'!F248</f>
        <v>Generado por el uso de equipos o herramientas con fines de construcción, limpieza o montaje de estructuras</v>
      </c>
      <c r="H248" s="32" t="str">
        <f>'Invest. IF'!G248</f>
        <v>4.6</v>
      </c>
      <c r="I248" s="32" t="str">
        <f>'Invest. IF'!H248</f>
        <v>Parcelaciones, edificaciones residenciales, industriales u otras en zonas rurales o de interfaz</v>
      </c>
      <c r="J248" s="32" t="str">
        <f>'Invest. IF'!I248</f>
        <v>Negligentes</v>
      </c>
      <c r="K248" s="32" t="str">
        <f>'Invest. IF'!M248</f>
        <v>Abril</v>
      </c>
      <c r="L248" s="32" t="str">
        <f>'Invest. IF'!N248</f>
        <v>ITA_N-247_R20-LA HUERTA_NR-390</v>
      </c>
      <c r="M248" s="32" t="str">
        <f>'Invest. IF'!O248</f>
        <v>Curicó</v>
      </c>
      <c r="N248" s="32">
        <f>'Invest. IF'!J248</f>
        <v>258086</v>
      </c>
      <c r="O248" s="32">
        <f>'Invest. IF'!K248</f>
        <v>6117458</v>
      </c>
    </row>
    <row r="249" spans="1:15" x14ac:dyDescent="0.2">
      <c r="A249" s="36">
        <f>'Invest. IF'!A249</f>
        <v>248</v>
      </c>
      <c r="B249" s="21" t="e">
        <f>'Invest. IF'!#REF!</f>
        <v>#REF!</v>
      </c>
      <c r="C249" s="32" t="str">
        <f>'Invest. IF'!B249</f>
        <v>Hualañé</v>
      </c>
      <c r="D249" s="7">
        <f>'Invest. IF'!C249</f>
        <v>635</v>
      </c>
      <c r="E249" s="32" t="str">
        <f>'Invest. IF'!D249</f>
        <v>Puente Paula</v>
      </c>
      <c r="F249" s="32" t="str">
        <f>'Invest. IF'!E249</f>
        <v>4.8.2</v>
      </c>
      <c r="G249" s="32" t="str">
        <f>'Invest. IF'!F249</f>
        <v>Quema de basura residencial o desechos vegetales</v>
      </c>
      <c r="H249" s="32" t="str">
        <f>'Invest. IF'!G249</f>
        <v>4.8</v>
      </c>
      <c r="I249" s="32" t="str">
        <f>'Invest. IF'!H249</f>
        <v>Otras quemas</v>
      </c>
      <c r="J249" s="32" t="str">
        <f>'Invest. IF'!I249</f>
        <v>Negligentes</v>
      </c>
      <c r="K249" s="32" t="str">
        <f>'Invest. IF'!M249</f>
        <v>Abril</v>
      </c>
      <c r="L249" s="32" t="str">
        <f>'Invest. IF'!N249</f>
        <v>ITA_N-248_R20-PUENTE PAULA_NR-635</v>
      </c>
      <c r="M249" s="32" t="str">
        <f>'Invest. IF'!O249</f>
        <v>Curicó</v>
      </c>
      <c r="N249" s="32">
        <f>'Invest. IF'!J249</f>
        <v>243400</v>
      </c>
      <c r="O249" s="32">
        <f>'Invest. IF'!K249</f>
        <v>6125210</v>
      </c>
    </row>
    <row r="250" spans="1:15" x14ac:dyDescent="0.2">
      <c r="A250" s="36">
        <f>'Invest. IF'!A250</f>
        <v>249</v>
      </c>
      <c r="B250" s="21" t="e">
        <f>'Invest. IF'!#REF!</f>
        <v>#REF!</v>
      </c>
      <c r="C250" s="32" t="str">
        <f>'Invest. IF'!B250</f>
        <v>Cauquenes</v>
      </c>
      <c r="D250" s="7">
        <f>'Invest. IF'!C250</f>
        <v>410</v>
      </c>
      <c r="E250" s="32" t="str">
        <f>'Invest. IF'!D250</f>
        <v>Chequen</v>
      </c>
      <c r="F250" s="32" t="str">
        <f>'Invest. IF'!E250</f>
        <v>4.6.1</v>
      </c>
      <c r="G250" s="32" t="str">
        <f>'Invest. IF'!F250</f>
        <v>Generado por el uso de equipos o herramientas con fines de construcción, limpieza o montaje de estructuras</v>
      </c>
      <c r="H250" s="32" t="str">
        <f>'Invest. IF'!G250</f>
        <v>4.6</v>
      </c>
      <c r="I250" s="32" t="str">
        <f>'Invest. IF'!H250</f>
        <v>Parcelaciones, edificaciones residenciales, industriales u otras en zonas rurales o de interfaz</v>
      </c>
      <c r="J250" s="32" t="str">
        <f>'Invest. IF'!I250</f>
        <v>Negligentes</v>
      </c>
      <c r="K250" s="32" t="str">
        <f>'Invest. IF'!M250</f>
        <v>Abril</v>
      </c>
      <c r="L250" s="32" t="str">
        <f>'Invest. IF'!N250</f>
        <v>ITA_N-249_R20-CHEQUEN_NR-410</v>
      </c>
      <c r="M250" s="32" t="str">
        <f>'Invest. IF'!O250</f>
        <v>Cauquenes</v>
      </c>
      <c r="N250" s="32">
        <f>'Invest. IF'!J250</f>
        <v>751686</v>
      </c>
      <c r="O250" s="32">
        <f>'Invest. IF'!K250</f>
        <v>6002524</v>
      </c>
    </row>
    <row r="251" spans="1:15" x14ac:dyDescent="0.2">
      <c r="A251" s="36">
        <f>'Invest. IF'!A251</f>
        <v>250</v>
      </c>
      <c r="B251" s="21" t="e">
        <f>'Invest. IF'!#REF!</f>
        <v>#REF!</v>
      </c>
      <c r="C251" s="32" t="str">
        <f>'Invest. IF'!B251</f>
        <v>Cauquenes</v>
      </c>
      <c r="D251" s="7">
        <f>'Invest. IF'!C251</f>
        <v>632</v>
      </c>
      <c r="E251" s="32" t="str">
        <f>'Invest. IF'!D251</f>
        <v>Las Trancas</v>
      </c>
      <c r="F251" s="32" t="str">
        <f>'Invest. IF'!E251</f>
        <v>4.8.2</v>
      </c>
      <c r="G251" s="32" t="str">
        <f>'Invest. IF'!F251</f>
        <v>Quema de basura residencial o desechos vegetales</v>
      </c>
      <c r="H251" s="32" t="str">
        <f>'Invest. IF'!G251</f>
        <v>4.8</v>
      </c>
      <c r="I251" s="32" t="str">
        <f>'Invest. IF'!H251</f>
        <v>Otras quemas</v>
      </c>
      <c r="J251" s="32" t="str">
        <f>'Invest. IF'!I251</f>
        <v>Negligentes</v>
      </c>
      <c r="K251" s="32" t="str">
        <f>'Invest. IF'!M251</f>
        <v>Abril</v>
      </c>
      <c r="L251" s="32" t="str">
        <f>'Invest. IF'!N251</f>
        <v>ITA_N-250_R20-LAS TRANCAS_NR-632</v>
      </c>
      <c r="M251" s="32" t="str">
        <f>'Invest. IF'!O251</f>
        <v>Cauquenes</v>
      </c>
      <c r="N251" s="32">
        <f>'Invest. IF'!J251</f>
        <v>736354</v>
      </c>
      <c r="O251" s="32">
        <f>'Invest. IF'!K251</f>
        <v>6008516</v>
      </c>
    </row>
    <row r="252" spans="1:15" x14ac:dyDescent="0.2">
      <c r="A252" s="36">
        <f>'Invest. IF'!A252</f>
        <v>251</v>
      </c>
      <c r="B252" s="21" t="e">
        <f>'Invest. IF'!#REF!</f>
        <v>#REF!</v>
      </c>
      <c r="C252" s="32" t="str">
        <f>'Invest. IF'!B252</f>
        <v>Cauquenes</v>
      </c>
      <c r="D252" s="7">
        <f>'Invest. IF'!C252</f>
        <v>614</v>
      </c>
      <c r="E252" s="32" t="str">
        <f>'Invest. IF'!D252</f>
        <v>Molco</v>
      </c>
      <c r="F252" s="32" t="str">
        <f>'Invest. IF'!E252</f>
        <v>1.7.3</v>
      </c>
      <c r="G252" s="32" t="str">
        <f>'Invest. IF'!F252</f>
        <v>Generado por vehículo  (roce metálico, tubo de escape, desperfecto, otros)</v>
      </c>
      <c r="H252" s="32" t="str">
        <f>'Invest. IF'!G252</f>
        <v>1.7</v>
      </c>
      <c r="I252" s="32" t="str">
        <f>'Invest. IF'!H252</f>
        <v>Originados por desplazamiento de personas, vehículos o aeronaves</v>
      </c>
      <c r="J252" s="32" t="str">
        <f>'Invest. IF'!I252</f>
        <v>Accidentales</v>
      </c>
      <c r="K252" s="32" t="str">
        <f>'Invest. IF'!M252</f>
        <v>Abril</v>
      </c>
      <c r="L252" s="32" t="str">
        <f>'Invest. IF'!N252</f>
        <v>ITA_N-251_R20-MOLCO_NR-614</v>
      </c>
      <c r="M252" s="32" t="str">
        <f>'Invest. IF'!O252</f>
        <v>Cauquenes</v>
      </c>
      <c r="N252" s="32">
        <f>'Invest. IF'!J252</f>
        <v>711191</v>
      </c>
      <c r="O252" s="32">
        <f>'Invest. IF'!K252</f>
        <v>6019943</v>
      </c>
    </row>
    <row r="253" spans="1:15" x14ac:dyDescent="0.2">
      <c r="A253" s="36">
        <f>'Invest. IF'!A253</f>
        <v>252</v>
      </c>
      <c r="B253" s="21" t="e">
        <f>'Invest. IF'!#REF!</f>
        <v>#REF!</v>
      </c>
      <c r="C253" s="32" t="str">
        <f>'Invest. IF'!B253</f>
        <v>Cauquenes</v>
      </c>
      <c r="D253" s="7">
        <f>'Invest. IF'!C253</f>
        <v>616</v>
      </c>
      <c r="E253" s="32" t="str">
        <f>'Invest. IF'!D253</f>
        <v>Molco 2</v>
      </c>
      <c r="F253" s="32" t="str">
        <f>'Invest. IF'!E253</f>
        <v>4.6.1</v>
      </c>
      <c r="G253" s="32" t="str">
        <f>'Invest. IF'!F253</f>
        <v>Generado por el uso de equipos o herramientas con fines de construcción, limpieza o montaje de estructuras</v>
      </c>
      <c r="H253" s="32" t="str">
        <f>'Invest. IF'!G253</f>
        <v>4.6</v>
      </c>
      <c r="I253" s="32" t="str">
        <f>'Invest. IF'!H253</f>
        <v>Parcelaciones, edificaciones residenciales, industriales u otras en zonas rurales o de interfaz</v>
      </c>
      <c r="J253" s="32" t="str">
        <f>'Invest. IF'!I253</f>
        <v>Negligentes</v>
      </c>
      <c r="K253" s="32" t="str">
        <f>'Invest. IF'!M253</f>
        <v>Abril</v>
      </c>
      <c r="L253" s="32" t="str">
        <f>'Invest. IF'!N253</f>
        <v>ITA_N-252_R20-MOLCO 2_NR-616</v>
      </c>
      <c r="M253" s="32" t="str">
        <f>'Invest. IF'!O253</f>
        <v>Cauquenes</v>
      </c>
      <c r="N253" s="32">
        <f>'Invest. IF'!J253</f>
        <v>742104</v>
      </c>
      <c r="O253" s="32">
        <f>'Invest. IF'!K253</f>
        <v>6018372</v>
      </c>
    </row>
    <row r="254" spans="1:15" x14ac:dyDescent="0.2">
      <c r="A254" s="36">
        <f>'Invest. IF'!A254</f>
        <v>253</v>
      </c>
      <c r="B254" s="21" t="e">
        <f>'Invest. IF'!#REF!</f>
        <v>#REF!</v>
      </c>
      <c r="C254" s="32" t="str">
        <f>'Invest. IF'!B254</f>
        <v>Linares</v>
      </c>
      <c r="D254" s="7">
        <f>'Invest. IF'!C254</f>
        <v>661</v>
      </c>
      <c r="E254" s="32" t="str">
        <f>'Invest. IF'!D254</f>
        <v>Rincón de Maica</v>
      </c>
      <c r="F254" s="32" t="str">
        <f>'Invest. IF'!E254</f>
        <v>4.11.3</v>
      </c>
      <c r="G254" s="32" t="str">
        <f>'Invest. IF'!F254</f>
        <v>Empleo de fuentes de calor en faena de extracción y/o confección de leña no industrial</v>
      </c>
      <c r="H254" s="32" t="str">
        <f>'Invest. IF'!G254</f>
        <v>4.11</v>
      </c>
      <c r="I254" s="32" t="str">
        <f>'Invest. IF'!H254</f>
        <v>Producción y/o extracción de productos y/o derivados del bosque</v>
      </c>
      <c r="J254" s="32" t="str">
        <f>'Invest. IF'!I254</f>
        <v>Negligentes</v>
      </c>
      <c r="K254" s="32" t="str">
        <f>'Invest. IF'!M254</f>
        <v>Abril</v>
      </c>
      <c r="L254" s="32" t="str">
        <f>'Invest. IF'!N254</f>
        <v>ITA_N-253_R20-RINCON DE MAICA_NR-661</v>
      </c>
      <c r="M254" s="32" t="str">
        <f>'Invest. IF'!O254</f>
        <v>Linares</v>
      </c>
      <c r="N254" s="32">
        <f>'Invest. IF'!J254</f>
        <v>250708</v>
      </c>
      <c r="O254" s="32">
        <f>'Invest. IF'!K254</f>
        <v>6043999</v>
      </c>
    </row>
    <row r="255" spans="1:15" x14ac:dyDescent="0.2">
      <c r="A255" s="36">
        <f>'Invest. IF'!A255</f>
        <v>254</v>
      </c>
      <c r="B255" s="21" t="e">
        <f>'Invest. IF'!#REF!</f>
        <v>#REF!</v>
      </c>
      <c r="C255" s="32" t="str">
        <f>'Invest. IF'!B255</f>
        <v>Linares</v>
      </c>
      <c r="D255" s="7">
        <f>'Invest. IF'!C255</f>
        <v>646</v>
      </c>
      <c r="E255" s="32" t="str">
        <f>'Invest. IF'!D255</f>
        <v>Maica</v>
      </c>
      <c r="F255" s="32" t="str">
        <f>'Invest. IF'!E255</f>
        <v>4.11.3</v>
      </c>
      <c r="G255" s="32" t="str">
        <f>'Invest. IF'!F255</f>
        <v>Empleo de fuentes de calor en faena de extracción y/o confección de leña no industrial</v>
      </c>
      <c r="H255" s="32" t="str">
        <f>'Invest. IF'!G255</f>
        <v>4.11</v>
      </c>
      <c r="I255" s="32" t="str">
        <f>'Invest. IF'!H255</f>
        <v>Producción y/o extracción de productos y/o derivados del bosque</v>
      </c>
      <c r="J255" s="32" t="str">
        <f>'Invest. IF'!I255</f>
        <v>Negligentes</v>
      </c>
      <c r="K255" s="32" t="str">
        <f>'Invest. IF'!M255</f>
        <v>Abril</v>
      </c>
      <c r="L255" s="32" t="str">
        <f>'Invest. IF'!N255</f>
        <v>ITA_N-254_R20-MAICA_NR-646</v>
      </c>
      <c r="M255" s="32" t="str">
        <f>'Invest. IF'!O255</f>
        <v>Linares</v>
      </c>
      <c r="N255" s="32">
        <f>'Invest. IF'!J255</f>
        <v>250803</v>
      </c>
      <c r="O255" s="32">
        <f>'Invest. IF'!K255</f>
        <v>6044498</v>
      </c>
    </row>
    <row r="256" spans="1:15" x14ac:dyDescent="0.2">
      <c r="A256" s="36">
        <f>'Invest. IF'!A256</f>
        <v>255</v>
      </c>
      <c r="B256" s="21" t="e">
        <f>'Invest. IF'!#REF!</f>
        <v>#REF!</v>
      </c>
      <c r="C256" s="32" t="str">
        <f>'Invest. IF'!B256</f>
        <v>San Clemente</v>
      </c>
      <c r="D256" s="7">
        <f>'Invest. IF'!C256</f>
        <v>660</v>
      </c>
      <c r="E256" s="32" t="str">
        <f>'Invest. IF'!D256</f>
        <v>Santa María</v>
      </c>
      <c r="F256" s="32" t="str">
        <f>'Invest. IF'!E256</f>
        <v>4.2.1</v>
      </c>
      <c r="G256" s="32" t="str">
        <f>'Invest. IF'!F256</f>
        <v>Quema no avisada de desechos agrícolas que se propaga libre y sin control</v>
      </c>
      <c r="H256" s="32" t="str">
        <f>'Invest. IF'!G256</f>
        <v>4.2</v>
      </c>
      <c r="I256" s="32" t="str">
        <f>'Invest. IF'!H256</f>
        <v>Faenas agrícolas y pecuarias</v>
      </c>
      <c r="J256" s="32" t="str">
        <f>'Invest. IF'!I256</f>
        <v>Negligentes</v>
      </c>
      <c r="K256" s="32" t="str">
        <f>'Invest. IF'!M256</f>
        <v>Abril</v>
      </c>
      <c r="L256" s="32" t="str">
        <f>'Invest. IF'!N256</f>
        <v>ITA_N-255_R20-SANTA MARIA_NR-660</v>
      </c>
      <c r="M256" s="32" t="str">
        <f>'Invest. IF'!O256</f>
        <v>Talca</v>
      </c>
      <c r="N256" s="32">
        <f>'Invest. IF'!J256</f>
        <v>267667</v>
      </c>
      <c r="O256" s="32">
        <f>'Invest. IF'!K256</f>
        <v>6065209</v>
      </c>
    </row>
    <row r="257" spans="1:15" x14ac:dyDescent="0.2">
      <c r="A257" s="36">
        <f>'Invest. IF'!A257</f>
        <v>256</v>
      </c>
      <c r="B257" s="21" t="e">
        <f>'Invest. IF'!#REF!</f>
        <v>#REF!</v>
      </c>
      <c r="C257" s="32" t="str">
        <f>'Invest. IF'!B257</f>
        <v>San Clemente</v>
      </c>
      <c r="D257" s="7">
        <f>'Invest. IF'!C257</f>
        <v>627</v>
      </c>
      <c r="E257" s="32" t="str">
        <f>'Invest. IF'!D257</f>
        <v>San Clemente (Trabajo social)</v>
      </c>
      <c r="F257" s="32" t="str">
        <f>'Invest. IF'!E257</f>
        <v>2.1.1</v>
      </c>
      <c r="G257" s="32" t="str">
        <f>'Invest. IF'!F257</f>
        <v>Provocado, no se identifica la motivación</v>
      </c>
      <c r="H257" s="32" t="str">
        <f>'Invest. IF'!G257</f>
        <v>2.1</v>
      </c>
      <c r="I257" s="32" t="str">
        <f>'Invest. IF'!H257</f>
        <v>Incendios intencionales</v>
      </c>
      <c r="J257" s="32" t="str">
        <f>'Invest. IF'!I257</f>
        <v>Intencionales</v>
      </c>
      <c r="K257" s="32" t="str">
        <f>'Invest. IF'!M257</f>
        <v>Abril</v>
      </c>
      <c r="L257" s="32" t="str">
        <f>'Invest. IF'!N257</f>
        <v>ITA_N-256_R20-SAN CLEMENTE (TRABAJO SOCIAL)_NR-627</v>
      </c>
      <c r="M257" s="32" t="str">
        <f>'Invest. IF'!O257</f>
        <v>Talca</v>
      </c>
      <c r="N257" s="32">
        <f>'Invest. IF'!J257</f>
        <v>287238</v>
      </c>
      <c r="O257" s="32">
        <f>'Invest. IF'!K257</f>
        <v>6058387</v>
      </c>
    </row>
    <row r="258" spans="1:15" x14ac:dyDescent="0.2">
      <c r="A258" s="36">
        <f>'Invest. IF'!A258</f>
        <v>257</v>
      </c>
      <c r="B258" s="21" t="e">
        <f>'Invest. IF'!#REF!</f>
        <v>#REF!</v>
      </c>
      <c r="C258" s="32" t="str">
        <f>'Invest. IF'!B258</f>
        <v>Maule</v>
      </c>
      <c r="D258" s="7">
        <f>'Invest. IF'!C258</f>
        <v>587</v>
      </c>
      <c r="E258" s="32" t="str">
        <f>'Invest. IF'!D258</f>
        <v>Callejones</v>
      </c>
      <c r="F258" s="32" t="str">
        <f>'Invest. IF'!E258</f>
        <v>4.2.1</v>
      </c>
      <c r="G258" s="32" t="str">
        <f>'Invest. IF'!F258</f>
        <v>Quema no avisada de desechos agrícolas que se propaga libre y sin control</v>
      </c>
      <c r="H258" s="32" t="str">
        <f>'Invest. IF'!G258</f>
        <v>4.2</v>
      </c>
      <c r="I258" s="32" t="str">
        <f>'Invest. IF'!H258</f>
        <v>Faenas agrícolas y pecuarias</v>
      </c>
      <c r="J258" s="32" t="str">
        <f>'Invest. IF'!I258</f>
        <v>Negligentes</v>
      </c>
      <c r="K258" s="32" t="str">
        <f>'Invest. IF'!M258</f>
        <v>Abril</v>
      </c>
      <c r="L258" s="32" t="str">
        <f>'Invest. IF'!N258</f>
        <v>ITA_N-257_R20-CALLEJONES_NR-587</v>
      </c>
      <c r="M258" s="32" t="str">
        <f>'Invest. IF'!O258</f>
        <v>Talca</v>
      </c>
      <c r="N258" s="32">
        <f>'Invest. IF'!J258</f>
        <v>260076</v>
      </c>
      <c r="O258" s="32">
        <f>'Invest. IF'!K258</f>
        <v>6067183</v>
      </c>
    </row>
    <row r="259" spans="1:15" x14ac:dyDescent="0.2">
      <c r="A259" s="36">
        <f>'Invest. IF'!A259</f>
        <v>258</v>
      </c>
      <c r="B259" s="21" t="e">
        <f>'Invest. IF'!#REF!</f>
        <v>#REF!</v>
      </c>
      <c r="C259" s="32" t="str">
        <f>'Invest. IF'!B259</f>
        <v>Maule</v>
      </c>
      <c r="D259" s="7">
        <f>'Invest. IF'!C259</f>
        <v>366</v>
      </c>
      <c r="E259" s="32" t="str">
        <f>'Invest. IF'!D259</f>
        <v>Quiñantu</v>
      </c>
      <c r="F259" s="32" t="str">
        <f>'Invest. IF'!E259</f>
        <v>4.9.1</v>
      </c>
      <c r="G259" s="32" t="str">
        <f>'Invest. IF'!F259</f>
        <v>Combustión de la vegetación, producto del contacto o proximidad con el tendido eléctrico</v>
      </c>
      <c r="H259" s="32" t="str">
        <f>'Invest. IF'!G259</f>
        <v>4.9</v>
      </c>
      <c r="I259" s="32" t="str">
        <f>'Invest. IF'!H259</f>
        <v>Líneas eléctricas</v>
      </c>
      <c r="J259" s="32" t="str">
        <f>'Invest. IF'!I259</f>
        <v>Negligentes</v>
      </c>
      <c r="K259" s="32" t="str">
        <f>'Invest. IF'!M259</f>
        <v>Abril</v>
      </c>
      <c r="L259" s="32" t="str">
        <f>'Invest. IF'!N259</f>
        <v>ITA_N-258_R20-QUIÑANTÚ_NR-366</v>
      </c>
      <c r="M259" s="32" t="str">
        <f>'Invest. IF'!O259</f>
        <v>Talca</v>
      </c>
      <c r="N259" s="32">
        <f>'Invest. IF'!J259</f>
        <v>263097</v>
      </c>
      <c r="O259" s="32">
        <f>'Invest. IF'!K259</f>
        <v>6066199</v>
      </c>
    </row>
    <row r="260" spans="1:15" x14ac:dyDescent="0.2">
      <c r="A260" s="36">
        <f>'Invest. IF'!A260</f>
        <v>259</v>
      </c>
      <c r="B260" s="21" t="e">
        <f>'Invest. IF'!#REF!</f>
        <v>#REF!</v>
      </c>
      <c r="C260" s="32" t="str">
        <f>'Invest. IF'!B260</f>
        <v>Molina</v>
      </c>
      <c r="D260" s="7">
        <f>'Invest. IF'!C260</f>
        <v>560</v>
      </c>
      <c r="E260" s="32" t="str">
        <f>'Invest. IF'!D260</f>
        <v>Buena Paz</v>
      </c>
      <c r="F260" s="32" t="str">
        <f>'Invest. IF'!E260</f>
        <v>4.10.4</v>
      </c>
      <c r="G260" s="32" t="str">
        <f>'Invest. IF'!F260</f>
        <v>Acciones asociadas a fumar</v>
      </c>
      <c r="H260" s="32" t="str">
        <f>'Invest. IF'!G260</f>
        <v>4.10</v>
      </c>
      <c r="I260" s="32" t="str">
        <f>'Invest. IF'!H260</f>
        <v>Otras causas</v>
      </c>
      <c r="J260" s="32" t="str">
        <f>'Invest. IF'!I260</f>
        <v>Negligentes</v>
      </c>
      <c r="K260" s="32" t="str">
        <f>'Invest. IF'!M260</f>
        <v>Abril</v>
      </c>
      <c r="L260" s="32" t="str">
        <f>'Invest. IF'!N260</f>
        <v>ITA_N-259_R20-BUENA PAZ_NR-560</v>
      </c>
      <c r="M260" s="32" t="str">
        <f>'Invest. IF'!O260</f>
        <v>Curicó</v>
      </c>
      <c r="N260" s="32">
        <f>'Invest. IF'!J260</f>
        <v>301343</v>
      </c>
      <c r="O260" s="32">
        <f>'Invest. IF'!K260</f>
        <v>6106521</v>
      </c>
    </row>
    <row r="261" spans="1:15" x14ac:dyDescent="0.2">
      <c r="A261" s="36">
        <f>'Invest. IF'!A261</f>
        <v>260</v>
      </c>
      <c r="B261" s="21" t="e">
        <f>'Invest. IF'!#REF!</f>
        <v>#REF!</v>
      </c>
      <c r="C261" s="32" t="str">
        <f>'Invest. IF'!B261</f>
        <v>Molina</v>
      </c>
      <c r="D261" s="7">
        <f>'Invest. IF'!C261</f>
        <v>647</v>
      </c>
      <c r="E261" s="32" t="str">
        <f>'Invest. IF'!D261</f>
        <v>Alupenhue 2</v>
      </c>
      <c r="F261" s="32" t="str">
        <f>'Invest. IF'!E261</f>
        <v>4.2.8</v>
      </c>
      <c r="G261" s="32" t="str">
        <f>'Invest. IF'!F261</f>
        <v>Otras causas negligentes no clasificadas en faenas agrícolas y pecuarias</v>
      </c>
      <c r="H261" s="32" t="str">
        <f>'Invest. IF'!G261</f>
        <v>4.2</v>
      </c>
      <c r="I261" s="32" t="str">
        <f>'Invest. IF'!H261</f>
        <v>Faenas agrícolas y pecuarias</v>
      </c>
      <c r="J261" s="32" t="str">
        <f>'Invest. IF'!I261</f>
        <v>Negligentes</v>
      </c>
      <c r="K261" s="32" t="str">
        <f>'Invest. IF'!M261</f>
        <v>Abril</v>
      </c>
      <c r="L261" s="32" t="str">
        <f>'Invest. IF'!N261</f>
        <v>ITA_N-260_R20-ALUPENHUE 2_NR-647</v>
      </c>
      <c r="M261" s="32" t="str">
        <f>'Invest. IF'!O261</f>
        <v>Curicó</v>
      </c>
      <c r="N261" s="32">
        <f>'Invest. IF'!J261</f>
        <v>310208</v>
      </c>
      <c r="O261" s="32">
        <f>'Invest. IF'!K261</f>
        <v>6100667</v>
      </c>
    </row>
    <row r="262" spans="1:15" x14ac:dyDescent="0.2">
      <c r="A262" s="36">
        <f>'Invest. IF'!A262</f>
        <v>261</v>
      </c>
      <c r="B262" s="21" t="e">
        <f>'Invest. IF'!#REF!</f>
        <v>#REF!</v>
      </c>
      <c r="C262" s="32" t="str">
        <f>'Invest. IF'!B262</f>
        <v>Curicó</v>
      </c>
      <c r="D262" s="7">
        <f>'Invest. IF'!C262</f>
        <v>613</v>
      </c>
      <c r="E262" s="32" t="str">
        <f>'Invest. IF'!D262</f>
        <v>Algarrobito</v>
      </c>
      <c r="F262" s="32" t="str">
        <f>'Invest. IF'!E262</f>
        <v>4.8.2</v>
      </c>
      <c r="G262" s="32" t="str">
        <f>'Invest. IF'!F262</f>
        <v>Quema de basura residencial o desechos vegetales</v>
      </c>
      <c r="H262" s="32" t="str">
        <f>'Invest. IF'!G262</f>
        <v>4.8</v>
      </c>
      <c r="I262" s="32" t="str">
        <f>'Invest. IF'!H262</f>
        <v>Otras quemas</v>
      </c>
      <c r="J262" s="32" t="str">
        <f>'Invest. IF'!I262</f>
        <v>Negligentes</v>
      </c>
      <c r="K262" s="32" t="str">
        <f>'Invest. IF'!M262</f>
        <v>Abril</v>
      </c>
      <c r="L262" s="32" t="str">
        <f>'Invest. IF'!N262</f>
        <v>ITA_N-261_R20-ALGARROBITO_NR-613</v>
      </c>
      <c r="M262" s="32" t="str">
        <f>'Invest. IF'!O262</f>
        <v>Curicó</v>
      </c>
      <c r="N262" s="32">
        <f>'Invest. IF'!J262</f>
        <v>302658</v>
      </c>
      <c r="O262" s="32">
        <f>'Invest. IF'!K262</f>
        <v>6112708</v>
      </c>
    </row>
    <row r="263" spans="1:15" x14ac:dyDescent="0.2">
      <c r="A263" s="36">
        <f>'Invest. IF'!A263</f>
        <v>262</v>
      </c>
      <c r="B263" s="21" t="e">
        <f>'Invest. IF'!#REF!</f>
        <v>#REF!</v>
      </c>
      <c r="C263" s="32" t="str">
        <f>'Invest. IF'!B263</f>
        <v>Parral</v>
      </c>
      <c r="D263" s="7">
        <f>'Invest. IF'!C263</f>
        <v>206</v>
      </c>
      <c r="E263" s="32" t="str">
        <f>'Invest. IF'!D263</f>
        <v>La Reina</v>
      </c>
      <c r="F263" s="32" t="str">
        <f>'Invest. IF'!E263</f>
        <v>4.8.1</v>
      </c>
      <c r="G263" s="32" t="str">
        <f>'Invest. IF'!F263</f>
        <v>Quema no avisada con fines de limpieza en canales, cunetas, cercos o caminos (en predios particulares o públicos) que se propaga libre y sin control</v>
      </c>
      <c r="H263" s="32" t="str">
        <f>'Invest. IF'!G263</f>
        <v>4.8</v>
      </c>
      <c r="I263" s="32" t="str">
        <f>'Invest. IF'!H263</f>
        <v>Otras quemas</v>
      </c>
      <c r="J263" s="32" t="str">
        <f>'Invest. IF'!I263</f>
        <v>Negligentes</v>
      </c>
      <c r="K263" s="32" t="str">
        <f>'Invest. IF'!M263</f>
        <v>Abril</v>
      </c>
      <c r="L263" s="32" t="str">
        <f>'Invest. IF'!N263</f>
        <v>ITA_N-262_R20-LA REINA_NR-206</v>
      </c>
      <c r="M263" s="32" t="str">
        <f>'Invest. IF'!O263</f>
        <v>Linares</v>
      </c>
      <c r="N263" s="32">
        <f>'Invest. IF'!J263</f>
        <v>247422</v>
      </c>
      <c r="O263" s="32">
        <f>'Invest. IF'!K263</f>
        <v>5990457</v>
      </c>
    </row>
    <row r="264" spans="1:15" x14ac:dyDescent="0.2">
      <c r="A264" s="36">
        <f>'Invest. IF'!A264</f>
        <v>263</v>
      </c>
      <c r="B264" s="21" t="e">
        <f>'Invest. IF'!#REF!</f>
        <v>#REF!</v>
      </c>
      <c r="C264" s="32" t="str">
        <f>'Invest. IF'!B264</f>
        <v>Parral</v>
      </c>
      <c r="D264" s="7">
        <f>'Invest. IF'!C264</f>
        <v>209</v>
      </c>
      <c r="E264" s="32" t="str">
        <f>'Invest. IF'!D264</f>
        <v>Cruce Catillo</v>
      </c>
      <c r="F264" s="32" t="str">
        <f>'Invest. IF'!E264</f>
        <v>4.10.6</v>
      </c>
      <c r="G264" s="32" t="str">
        <f>'Invest. IF'!F264</f>
        <v>Fuegos artificiales, bengalas, otros artefactos pirotécnicos o globos aerostáticos</v>
      </c>
      <c r="H264" s="32" t="str">
        <f>'Invest. IF'!G264</f>
        <v>4.10</v>
      </c>
      <c r="I264" s="32" t="str">
        <f>'Invest. IF'!H264</f>
        <v>Otras causas</v>
      </c>
      <c r="J264" s="32" t="str">
        <f>'Invest. IF'!I264</f>
        <v>Negligentes</v>
      </c>
      <c r="K264" s="32" t="str">
        <f>'Invest. IF'!M264</f>
        <v>Abril</v>
      </c>
      <c r="L264" s="32" t="str">
        <f>'Invest. IF'!N264</f>
        <v>ITA_N-263_R20-CRUCE CATILLO_NR-209</v>
      </c>
      <c r="M264" s="32" t="str">
        <f>'Invest. IF'!O264</f>
        <v>Linares</v>
      </c>
      <c r="N264" s="32">
        <f>'Invest. IF'!J264</f>
        <v>246498</v>
      </c>
      <c r="O264" s="32">
        <f>'Invest. IF'!K264</f>
        <v>5994683</v>
      </c>
    </row>
    <row r="265" spans="1:15" x14ac:dyDescent="0.2">
      <c r="A265" s="36">
        <f>'Invest. IF'!A265</f>
        <v>264</v>
      </c>
      <c r="B265" s="21" t="e">
        <f>'Invest. IF'!#REF!</f>
        <v>#REF!</v>
      </c>
      <c r="C265" s="32" t="str">
        <f>'Invest. IF'!B265</f>
        <v>Talca</v>
      </c>
      <c r="D265" s="7">
        <f>'Invest. IF'!C265</f>
        <v>252</v>
      </c>
      <c r="E265" s="32" t="str">
        <f>'Invest. IF'!D265</f>
        <v>El oriente</v>
      </c>
      <c r="F265" s="32" t="str">
        <f>'Invest. IF'!E265</f>
        <v>4.6.5</v>
      </c>
      <c r="G265" s="32" t="str">
        <f>'Invest. IF'!F265</f>
        <v>Empleo de fuentes de calor en actividades relacionadas a parcelaciones (asados, tijerales, fogatas, otros)</v>
      </c>
      <c r="H265" s="32" t="str">
        <f>'Invest. IF'!G265</f>
        <v>4.6</v>
      </c>
      <c r="I265" s="32" t="str">
        <f>'Invest. IF'!H265</f>
        <v>Parcelaciones, edificaciones residenciales, industriales u otras en zonas rurales o de interfaz</v>
      </c>
      <c r="J265" s="32" t="str">
        <f>'Invest. IF'!I265</f>
        <v>Negligentes</v>
      </c>
      <c r="K265" s="32" t="str">
        <f>'Invest. IF'!M265</f>
        <v>Abril</v>
      </c>
      <c r="L265" s="32" t="str">
        <f>'Invest. IF'!N265</f>
        <v>ITA_N-264_R20-EL ORIENTE_NR-252</v>
      </c>
      <c r="M265" s="32" t="str">
        <f>'Invest. IF'!O265</f>
        <v>Talca</v>
      </c>
      <c r="N265" s="32">
        <f>'Invest. IF'!J265</f>
        <v>260870</v>
      </c>
      <c r="O265" s="32">
        <f>'Invest. IF'!K265</f>
        <v>6070781</v>
      </c>
    </row>
    <row r="266" spans="1:15" x14ac:dyDescent="0.2">
      <c r="A266" s="36">
        <f>'Invest. IF'!A266</f>
        <v>265</v>
      </c>
      <c r="B266" s="21" t="e">
        <f>'Invest. IF'!#REF!</f>
        <v>#REF!</v>
      </c>
      <c r="C266" s="32" t="str">
        <f>'Invest. IF'!B266</f>
        <v>Talca</v>
      </c>
      <c r="D266" s="7">
        <f>'Invest. IF'!C266</f>
        <v>645</v>
      </c>
      <c r="E266" s="32" t="str">
        <f>'Invest. IF'!D266</f>
        <v>La Esperanza</v>
      </c>
      <c r="F266" s="32" t="str">
        <f>'Invest. IF'!E266</f>
        <v>4.6.5</v>
      </c>
      <c r="G266" s="32" t="str">
        <f>'Invest. IF'!F266</f>
        <v>Empleo de fuentes de calor en actividades relacionadas a parcelaciones (asados, tijerales, fogatas, otros)</v>
      </c>
      <c r="H266" s="32" t="str">
        <f>'Invest. IF'!G266</f>
        <v>4.6</v>
      </c>
      <c r="I266" s="32" t="str">
        <f>'Invest. IF'!H266</f>
        <v>Parcelaciones, edificaciones residenciales, industriales u otras en zonas rurales o de interfaz</v>
      </c>
      <c r="J266" s="32" t="str">
        <f>'Invest. IF'!I266</f>
        <v>Negligentes</v>
      </c>
      <c r="K266" s="32" t="str">
        <f>'Invest. IF'!M266</f>
        <v>Abril</v>
      </c>
      <c r="L266" s="32" t="str">
        <f>'Invest. IF'!N266</f>
        <v>ITA_N-265_R20-LA ESPERANZA_NR-645</v>
      </c>
      <c r="M266" s="32" t="str">
        <f>'Invest. IF'!O266</f>
        <v>Talca</v>
      </c>
      <c r="N266" s="32">
        <f>'Invest. IF'!J266</f>
        <v>260684</v>
      </c>
      <c r="O266" s="32">
        <f>'Invest. IF'!K266</f>
        <v>6070919</v>
      </c>
    </row>
    <row r="267" spans="1:15" x14ac:dyDescent="0.2">
      <c r="A267" s="36">
        <f>'Invest. IF'!A267</f>
        <v>266</v>
      </c>
      <c r="B267" s="21" t="e">
        <f>'Invest. IF'!#REF!</f>
        <v>#REF!</v>
      </c>
      <c r="C267" s="32" t="str">
        <f>'Invest. IF'!B267</f>
        <v>Talca</v>
      </c>
      <c r="D267" s="7">
        <f>'Invest. IF'!C267</f>
        <v>665</v>
      </c>
      <c r="E267" s="32" t="str">
        <f>'Invest. IF'!D267</f>
        <v>Santa Raquel 2</v>
      </c>
      <c r="F267" s="32" t="str">
        <f>'Invest. IF'!E267</f>
        <v>4.6.5</v>
      </c>
      <c r="G267" s="32" t="str">
        <f>'Invest. IF'!F267</f>
        <v>Empleo de fuentes de calor en actividades relacionadas a parcelaciones (asados, tijerales, fogatas, otros)</v>
      </c>
      <c r="H267" s="32" t="str">
        <f>'Invest. IF'!G267</f>
        <v>4.6</v>
      </c>
      <c r="I267" s="32" t="str">
        <f>'Invest. IF'!H267</f>
        <v>Parcelaciones, edificaciones residenciales, industriales u otras en zonas rurales o de interfaz</v>
      </c>
      <c r="J267" s="32" t="str">
        <f>'Invest. IF'!I267</f>
        <v>Negligentes</v>
      </c>
      <c r="K267" s="32" t="str">
        <f>'Invest. IF'!M267</f>
        <v>Abril</v>
      </c>
      <c r="L267" s="32" t="str">
        <f>'Invest. IF'!N267</f>
        <v>ITA_N-266_R20-SANTA RAQUEL 2_NR-665</v>
      </c>
      <c r="M267" s="32" t="str">
        <f>'Invest. IF'!O267</f>
        <v>Talca</v>
      </c>
      <c r="N267" s="32">
        <f>'Invest. IF'!J267</f>
        <v>260562</v>
      </c>
      <c r="O267" s="32">
        <f>'Invest. IF'!K267</f>
        <v>6071202</v>
      </c>
    </row>
    <row r="268" spans="1:15" x14ac:dyDescent="0.2">
      <c r="A268" s="36">
        <f>'Invest. IF'!A268</f>
        <v>267</v>
      </c>
      <c r="B268" s="21" t="e">
        <f>'Invest. IF'!#REF!</f>
        <v>#REF!</v>
      </c>
      <c r="C268" s="32" t="str">
        <f>'Invest. IF'!B268</f>
        <v>San Clemente</v>
      </c>
      <c r="D268" s="7">
        <f>'Invest. IF'!C268</f>
        <v>657</v>
      </c>
      <c r="E268" s="32" t="str">
        <f>'Invest. IF'!D268</f>
        <v>El Torreón</v>
      </c>
      <c r="F268" s="32" t="str">
        <f>'Invest. IF'!E268</f>
        <v>4.8.2</v>
      </c>
      <c r="G268" s="32" t="str">
        <f>'Invest. IF'!F268</f>
        <v>Quema de basura residencial o desechos vegetales</v>
      </c>
      <c r="H268" s="32" t="str">
        <f>'Invest. IF'!G268</f>
        <v>4.8</v>
      </c>
      <c r="I268" s="32" t="str">
        <f>'Invest. IF'!H268</f>
        <v>Otras quemas</v>
      </c>
      <c r="J268" s="32" t="str">
        <f>'Invest. IF'!I268</f>
        <v>Negligentes</v>
      </c>
      <c r="K268" s="32" t="str">
        <f>'Invest. IF'!M268</f>
        <v>Abril</v>
      </c>
      <c r="L268" s="32" t="str">
        <f>'Invest. IF'!N268</f>
        <v>ITA_N-267_R20-EL TORREÓN_NR-657</v>
      </c>
      <c r="M268" s="32" t="str">
        <f>'Invest. IF'!O268</f>
        <v>Talca</v>
      </c>
      <c r="N268" s="32">
        <f>'Invest. IF'!J268</f>
        <v>300649</v>
      </c>
      <c r="O268" s="32">
        <f>'Invest. IF'!K268</f>
        <v>6075535</v>
      </c>
    </row>
    <row r="269" spans="1:15" x14ac:dyDescent="0.2">
      <c r="A269" s="36">
        <f>'Invest. IF'!A269</f>
        <v>268</v>
      </c>
      <c r="B269" s="21" t="e">
        <f>'Invest. IF'!#REF!</f>
        <v>#REF!</v>
      </c>
      <c r="C269" s="32" t="str">
        <f>'Invest. IF'!B269</f>
        <v>Pelarco</v>
      </c>
      <c r="D269" s="7">
        <f>'Invest. IF'!C269</f>
        <v>344</v>
      </c>
      <c r="E269" s="32" t="str">
        <f>'Invest. IF'!D269</f>
        <v>Portezuelo</v>
      </c>
      <c r="F269" s="32" t="str">
        <f>'Invest. IF'!E269</f>
        <v>4.8.2</v>
      </c>
      <c r="G269" s="32" t="str">
        <f>'Invest. IF'!F269</f>
        <v>Quema de basura residencial o desechos vegetales</v>
      </c>
      <c r="H269" s="32" t="str">
        <f>'Invest. IF'!G269</f>
        <v>4.8</v>
      </c>
      <c r="I269" s="32" t="str">
        <f>'Invest. IF'!H269</f>
        <v>Otras quemas</v>
      </c>
      <c r="J269" s="32" t="str">
        <f>'Invest. IF'!I269</f>
        <v>Negligentes</v>
      </c>
      <c r="K269" s="32" t="str">
        <f>'Invest. IF'!M269</f>
        <v>Abril</v>
      </c>
      <c r="L269" s="32" t="str">
        <f>'Invest. IF'!N269</f>
        <v>ITA_N-268_R20-PORTEZUELO_NR-344</v>
      </c>
      <c r="M269" s="32" t="str">
        <f>'Invest. IF'!O269</f>
        <v>Talca</v>
      </c>
      <c r="N269" s="32">
        <f>'Invest. IF'!J269</f>
        <v>292723</v>
      </c>
      <c r="O269" s="32">
        <f>'Invest. IF'!K269</f>
        <v>6077008</v>
      </c>
    </row>
    <row r="270" spans="1:15" x14ac:dyDescent="0.2">
      <c r="A270" s="36">
        <f>'Invest. IF'!A270</f>
        <v>269</v>
      </c>
      <c r="B270" s="21" t="e">
        <f>'Invest. IF'!#REF!</f>
        <v>#REF!</v>
      </c>
      <c r="C270" s="32" t="str">
        <f>'Invest. IF'!B270</f>
        <v>Pelarco</v>
      </c>
      <c r="D270" s="7">
        <f>'Invest. IF'!C270</f>
        <v>347</v>
      </c>
      <c r="E270" s="32" t="str">
        <f>'Invest. IF'!D270</f>
        <v>El Manzano</v>
      </c>
      <c r="F270" s="32" t="str">
        <f>'Invest. IF'!E270</f>
        <v>4.11.3</v>
      </c>
      <c r="G270" s="32" t="str">
        <f>'Invest. IF'!F270</f>
        <v>Empleo de fuentes de calor en faena de extracción y/o confección de leña no industrial</v>
      </c>
      <c r="H270" s="32" t="str">
        <f>'Invest. IF'!G270</f>
        <v>4.11</v>
      </c>
      <c r="I270" s="32" t="str">
        <f>'Invest. IF'!H270</f>
        <v>Producción y/o extracción de productos y/o derivados del bosque</v>
      </c>
      <c r="J270" s="32" t="str">
        <f>'Invest. IF'!I270</f>
        <v>Negligentes</v>
      </c>
      <c r="K270" s="32" t="str">
        <f>'Invest. IF'!M270</f>
        <v>Abril</v>
      </c>
      <c r="L270" s="32" t="str">
        <f>'Invest. IF'!N270</f>
        <v>ITA_N-269_R20-EL MANZANO_NR-347</v>
      </c>
      <c r="M270" s="32" t="str">
        <f>'Invest. IF'!O270</f>
        <v>Talca</v>
      </c>
      <c r="N270" s="32">
        <f>'Invest. IF'!J270</f>
        <v>281304</v>
      </c>
      <c r="O270" s="32">
        <f>'Invest. IF'!K270</f>
        <v>6077967</v>
      </c>
    </row>
    <row r="271" spans="1:15" x14ac:dyDescent="0.2">
      <c r="A271" s="36">
        <f>'Invest. IF'!A271</f>
        <v>270</v>
      </c>
      <c r="B271" s="21" t="e">
        <f>'Invest. IF'!#REF!</f>
        <v>#REF!</v>
      </c>
      <c r="C271" s="32" t="str">
        <f>'Invest. IF'!B271</f>
        <v>Curepto</v>
      </c>
      <c r="D271" s="7">
        <f>'Invest. IF'!C271</f>
        <v>641</v>
      </c>
      <c r="E271" s="32" t="str">
        <f>'Invest. IF'!D271</f>
        <v xml:space="preserve">Las Garzas 2 </v>
      </c>
      <c r="F271" s="32" t="str">
        <f>'Invest. IF'!E271</f>
        <v>4.6.5</v>
      </c>
      <c r="G271" s="32" t="str">
        <f>'Invest. IF'!F271</f>
        <v>Empleo de fuentes de calor en actividades relacionadas a parcelaciones (asados, tijerales, fogatas, otros)</v>
      </c>
      <c r="H271" s="32" t="str">
        <f>'Invest. IF'!G271</f>
        <v>4.6</v>
      </c>
      <c r="I271" s="32" t="str">
        <f>'Invest. IF'!H271</f>
        <v>Parcelaciones, edificaciones residenciales, industriales u otras en zonas rurales o de interfaz</v>
      </c>
      <c r="J271" s="32" t="str">
        <f>'Invest. IF'!I271</f>
        <v>Negligentes</v>
      </c>
      <c r="K271" s="32" t="str">
        <f>'Invest. IF'!M271</f>
        <v>Abril</v>
      </c>
      <c r="L271" s="32" t="str">
        <f>'Invest. IF'!N271</f>
        <v>ITA_N-270_R20-LAS GARZAS 2_NR-641</v>
      </c>
      <c r="M271" s="32" t="str">
        <f>'Invest. IF'!O271</f>
        <v>Talca</v>
      </c>
      <c r="N271" s="32">
        <f>'Invest. IF'!J271</f>
        <v>228589</v>
      </c>
      <c r="O271" s="32">
        <f>'Invest. IF'!K271</f>
        <v>6111473</v>
      </c>
    </row>
    <row r="272" spans="1:15" x14ac:dyDescent="0.2">
      <c r="A272" s="36">
        <f>'Invest. IF'!A272</f>
        <v>271</v>
      </c>
      <c r="B272" s="21" t="e">
        <f>'Invest. IF'!#REF!</f>
        <v>#REF!</v>
      </c>
      <c r="C272" s="32" t="str">
        <f>'Invest. IF'!B272</f>
        <v>Curepto</v>
      </c>
      <c r="D272" s="7">
        <f>'Invest. IF'!C272</f>
        <v>16</v>
      </c>
      <c r="E272" s="32" t="str">
        <f>'Invest. IF'!D272</f>
        <v>Quebrada de Ramírez</v>
      </c>
      <c r="F272" s="32" t="str">
        <f>'Invest. IF'!E272</f>
        <v>4.6.5</v>
      </c>
      <c r="G272" s="32" t="str">
        <f>'Invest. IF'!F272</f>
        <v>Empleo de fuentes de calor en actividades relacionadas a parcelaciones (asados, tijerales, fogatas, otros)</v>
      </c>
      <c r="H272" s="32" t="str">
        <f>'Invest. IF'!G272</f>
        <v>4.6</v>
      </c>
      <c r="I272" s="32" t="str">
        <f>'Invest. IF'!H272</f>
        <v>Parcelaciones, edificaciones residenciales, industriales u otras en zonas rurales o de interfaz</v>
      </c>
      <c r="J272" s="32" t="str">
        <f>'Invest. IF'!I272</f>
        <v>Negligentes</v>
      </c>
      <c r="K272" s="32" t="str">
        <f>'Invest. IF'!M272</f>
        <v>Abril</v>
      </c>
      <c r="L272" s="32" t="str">
        <f>'Invest. IF'!N272</f>
        <v>ITA_N-271_R20-QUEBRADA DE RAMIREZ_NR-16</v>
      </c>
      <c r="M272" s="32" t="str">
        <f>'Invest. IF'!O272</f>
        <v>Talca</v>
      </c>
      <c r="N272" s="32">
        <f>'Invest. IF'!J272</f>
        <v>773559</v>
      </c>
      <c r="O272" s="32">
        <f>'Invest. IF'!K272</f>
        <v>6116676</v>
      </c>
    </row>
    <row r="273" spans="1:15" x14ac:dyDescent="0.2">
      <c r="A273" s="36">
        <f>'Invest. IF'!A273</f>
        <v>272</v>
      </c>
      <c r="B273" s="21" t="e">
        <f>'Invest. IF'!#REF!</f>
        <v>#REF!</v>
      </c>
      <c r="C273" s="32" t="str">
        <f>'Invest. IF'!B273</f>
        <v>San Clemente</v>
      </c>
      <c r="D273" s="7">
        <f>'Invest. IF'!C273</f>
        <v>590</v>
      </c>
      <c r="E273" s="32" t="str">
        <f>'Invest. IF'!D273</f>
        <v>Lomillas</v>
      </c>
      <c r="F273" s="32" t="str">
        <f>'Invest. IF'!E273</f>
        <v>4.2.1</v>
      </c>
      <c r="G273" s="32" t="str">
        <f>'Invest. IF'!F273</f>
        <v>Quema no avisada de desechos agrícolas que se propaga libre y sin control</v>
      </c>
      <c r="H273" s="32" t="str">
        <f>'Invest. IF'!G273</f>
        <v>4.2</v>
      </c>
      <c r="I273" s="32" t="str">
        <f>'Invest. IF'!H273</f>
        <v>Faenas agrícolas y pecuarias</v>
      </c>
      <c r="J273" s="32" t="str">
        <f>'Invest. IF'!I273</f>
        <v>Negligentes</v>
      </c>
      <c r="K273" s="32" t="str">
        <f>'Invest. IF'!M273</f>
        <v>Abril</v>
      </c>
      <c r="L273" s="32" t="str">
        <f>'Invest. IF'!N273</f>
        <v>ITA_N-272_R20-LOMILLAS_NR-590</v>
      </c>
      <c r="M273" s="32" t="str">
        <f>'Invest. IF'!O273</f>
        <v>Talca</v>
      </c>
      <c r="N273" s="32">
        <f>'Invest. IF'!J273</f>
        <v>289744</v>
      </c>
      <c r="O273" s="32">
        <f>'Invest. IF'!K273</f>
        <v>6064065</v>
      </c>
    </row>
    <row r="274" spans="1:15" x14ac:dyDescent="0.2">
      <c r="A274" s="36">
        <f>'Invest. IF'!A274</f>
        <v>273</v>
      </c>
      <c r="B274" s="21" t="e">
        <f>'Invest. IF'!#REF!</f>
        <v>#REF!</v>
      </c>
      <c r="C274" s="32" t="str">
        <f>'Invest. IF'!B274</f>
        <v>San Clemente</v>
      </c>
      <c r="D274" s="7">
        <f>'Invest. IF'!C274</f>
        <v>353</v>
      </c>
      <c r="E274" s="32" t="str">
        <f>'Invest. IF'!D274</f>
        <v>La Granja</v>
      </c>
      <c r="F274" s="32" t="str">
        <f>'Invest. IF'!E274</f>
        <v>4.10.4</v>
      </c>
      <c r="G274" s="32" t="str">
        <f>'Invest. IF'!F274</f>
        <v>Acciones asociadas a fumar</v>
      </c>
      <c r="H274" s="32" t="str">
        <f>'Invest. IF'!G274</f>
        <v>4.10</v>
      </c>
      <c r="I274" s="32" t="str">
        <f>'Invest. IF'!H274</f>
        <v>Otras causas</v>
      </c>
      <c r="J274" s="32" t="str">
        <f>'Invest. IF'!I274</f>
        <v>Negligentes</v>
      </c>
      <c r="K274" s="32" t="str">
        <f>'Invest. IF'!M274</f>
        <v>Abril</v>
      </c>
      <c r="L274" s="32" t="str">
        <f>'Invest. IF'!N274</f>
        <v>ITA_N-273_R20-LA GRANJA_NR-353</v>
      </c>
      <c r="M274" s="32" t="str">
        <f>'Invest. IF'!O274</f>
        <v>Talca</v>
      </c>
      <c r="N274" s="32">
        <f>'Invest. IF'!J274</f>
        <v>276669</v>
      </c>
      <c r="O274" s="32">
        <f>'Invest. IF'!K274</f>
        <v>6062221</v>
      </c>
    </row>
    <row r="275" spans="1:15" x14ac:dyDescent="0.2">
      <c r="A275" s="36">
        <f>'Invest. IF'!A275</f>
        <v>274</v>
      </c>
      <c r="B275" s="21" t="e">
        <f>'Invest. IF'!#REF!</f>
        <v>#REF!</v>
      </c>
      <c r="C275" s="32" t="str">
        <f>'Invest. IF'!B275</f>
        <v>San Clemente</v>
      </c>
      <c r="D275" s="7">
        <f>'Invest. IF'!C275</f>
        <v>268</v>
      </c>
      <c r="E275" s="32" t="str">
        <f>'Invest. IF'!D275</f>
        <v>Los Pozos</v>
      </c>
      <c r="F275" s="32" t="str">
        <f>'Invest. IF'!E275</f>
        <v>4.8.2</v>
      </c>
      <c r="G275" s="32" t="str">
        <f>'Invest. IF'!F275</f>
        <v>Quema de basura residencial o desechos vegetales</v>
      </c>
      <c r="H275" s="32" t="str">
        <f>'Invest. IF'!G275</f>
        <v>4.8</v>
      </c>
      <c r="I275" s="32" t="str">
        <f>'Invest. IF'!H275</f>
        <v>Otras quemas</v>
      </c>
      <c r="J275" s="32" t="str">
        <f>'Invest. IF'!I275</f>
        <v>Negligentes</v>
      </c>
      <c r="K275" s="32" t="str">
        <f>'Invest. IF'!M275</f>
        <v>Abril</v>
      </c>
      <c r="L275" s="32" t="str">
        <f>'Invest. IF'!N275</f>
        <v>ITA_N-274_R20-LOS POZOS_NR-268</v>
      </c>
      <c r="M275" s="32" t="str">
        <f>'Invest. IF'!O275</f>
        <v>Talca</v>
      </c>
      <c r="N275" s="32">
        <f>'Invest. IF'!J275</f>
        <v>274451</v>
      </c>
      <c r="O275" s="32">
        <f>'Invest. IF'!K275</f>
        <v>6068895</v>
      </c>
    </row>
    <row r="276" spans="1:15" x14ac:dyDescent="0.2">
      <c r="A276" s="36">
        <f>'Invest. IF'!A276</f>
        <v>275</v>
      </c>
      <c r="B276" s="21" t="e">
        <f>'Invest. IF'!#REF!</f>
        <v>#REF!</v>
      </c>
      <c r="C276" s="32" t="str">
        <f>'Invest. IF'!B276</f>
        <v>Retiro</v>
      </c>
      <c r="D276" s="7">
        <f>'Invest. IF'!C276</f>
        <v>653</v>
      </c>
      <c r="E276" s="32" t="str">
        <f>'Invest. IF'!D276</f>
        <v>El Lucero</v>
      </c>
      <c r="F276" s="32" t="str">
        <f>'Invest. IF'!E276</f>
        <v>4.11.3</v>
      </c>
      <c r="G276" s="32" t="str">
        <f>'Invest. IF'!F276</f>
        <v>Empleo de fuentes de calor en faena de extracción y/o confección de leña no industrial</v>
      </c>
      <c r="H276" s="32" t="str">
        <f>'Invest. IF'!G276</f>
        <v>4.11</v>
      </c>
      <c r="I276" s="32" t="str">
        <f>'Invest. IF'!H276</f>
        <v>Producción y/o extracción de productos y/o derivados del bosque</v>
      </c>
      <c r="J276" s="32" t="str">
        <f>'Invest. IF'!I276</f>
        <v>Negligentes</v>
      </c>
      <c r="K276" s="32" t="str">
        <f>'Invest. IF'!M276</f>
        <v>Mayo</v>
      </c>
      <c r="L276" s="32" t="str">
        <f>'Invest. IF'!N276</f>
        <v>ITA_N-275_R20-EL LUCERO_NR-653</v>
      </c>
      <c r="M276" s="32" t="str">
        <f>'Invest. IF'!O276</f>
        <v>Linares</v>
      </c>
      <c r="N276" s="32">
        <f>'Invest. IF'!J276</f>
        <v>253651</v>
      </c>
      <c r="O276" s="32">
        <f>'Invest. IF'!K276</f>
        <v>6011344</v>
      </c>
    </row>
    <row r="277" spans="1:15" x14ac:dyDescent="0.2">
      <c r="A277" s="36">
        <f>'Invest. IF'!A277</f>
        <v>276</v>
      </c>
      <c r="B277" s="21" t="e">
        <f>'Invest. IF'!#REF!</f>
        <v>#REF!</v>
      </c>
      <c r="C277" s="32" t="str">
        <f>'Invest. IF'!B277</f>
        <v>Longaví</v>
      </c>
      <c r="D277" s="7">
        <f>'Invest. IF'!C277</f>
        <v>311</v>
      </c>
      <c r="E277" s="32" t="str">
        <f>'Invest. IF'!D277</f>
        <v>Pasarela Paine</v>
      </c>
      <c r="F277" s="32" t="str">
        <f>'Invest. IF'!E277</f>
        <v>4.10.4</v>
      </c>
      <c r="G277" s="32" t="str">
        <f>'Invest. IF'!F277</f>
        <v>Acciones asociadas a fumar</v>
      </c>
      <c r="H277" s="32" t="str">
        <f>'Invest. IF'!G277</f>
        <v>4.10</v>
      </c>
      <c r="I277" s="32" t="str">
        <f>'Invest. IF'!H277</f>
        <v>Otras causas</v>
      </c>
      <c r="J277" s="32" t="str">
        <f>'Invest. IF'!I277</f>
        <v>Negligentes</v>
      </c>
      <c r="K277" s="32" t="str">
        <f>'Invest. IF'!M277</f>
        <v>Mayo</v>
      </c>
      <c r="L277" s="32" t="str">
        <f>'Invest. IF'!N277</f>
        <v>ITA_N-276_R20-PASARELA PAINE_NR-311</v>
      </c>
      <c r="M277" s="32" t="str">
        <f>'Invest. IF'!O277</f>
        <v>Linares</v>
      </c>
      <c r="N277" s="32">
        <f>'Invest. IF'!J277</f>
        <v>255417</v>
      </c>
      <c r="O277" s="32">
        <f>'Invest. IF'!K277</f>
        <v>6013386</v>
      </c>
    </row>
    <row r="278" spans="1:15" x14ac:dyDescent="0.2">
      <c r="A278" s="36">
        <f>'Invest. IF'!A278</f>
        <v>277</v>
      </c>
      <c r="B278" s="21" t="e">
        <f>'Invest. IF'!#REF!</f>
        <v>#REF!</v>
      </c>
      <c r="C278" s="32" t="str">
        <f>'Invest. IF'!B278</f>
        <v>Linares</v>
      </c>
      <c r="D278" s="7">
        <f>'Invest. IF'!C278</f>
        <v>673</v>
      </c>
      <c r="E278" s="32" t="str">
        <f>'Invest. IF'!D278</f>
        <v>Palmira Bajo</v>
      </c>
      <c r="F278" s="32" t="str">
        <f>'Invest. IF'!E278</f>
        <v>4.11.3</v>
      </c>
      <c r="G278" s="32" t="str">
        <f>'Invest. IF'!F278</f>
        <v>Empleo de fuentes de calor en faena de extracción y/o confección de leña no industrial</v>
      </c>
      <c r="H278" s="32" t="str">
        <f>'Invest. IF'!G278</f>
        <v>4.11</v>
      </c>
      <c r="I278" s="32" t="str">
        <f>'Invest. IF'!H278</f>
        <v>Producción y/o extracción de productos y/o derivados del bosque</v>
      </c>
      <c r="J278" s="32" t="str">
        <f>'Invest. IF'!I278</f>
        <v>Negligentes</v>
      </c>
      <c r="K278" s="32" t="str">
        <f>'Invest. IF'!M278</f>
        <v>Mayo</v>
      </c>
      <c r="L278" s="32" t="str">
        <f>'Invest. IF'!N278</f>
        <v>ITA_N-277_R20-PALMIRA BAJO_NR-673</v>
      </c>
      <c r="M278" s="32" t="str">
        <f>'Invest. IF'!O278</f>
        <v>Linares</v>
      </c>
      <c r="N278" s="32">
        <f>'Invest. IF'!J278</f>
        <v>248459</v>
      </c>
      <c r="O278" s="32">
        <f>'Invest. IF'!K278</f>
        <v>6036836</v>
      </c>
    </row>
    <row r="279" spans="1:15" x14ac:dyDescent="0.2">
      <c r="A279" s="36">
        <f>'Invest. IF'!A279</f>
        <v>278</v>
      </c>
      <c r="B279" s="21" t="e">
        <f>'Invest. IF'!#REF!</f>
        <v>#REF!</v>
      </c>
      <c r="C279" s="32" t="str">
        <f>'Invest. IF'!B279</f>
        <v>Longaví</v>
      </c>
      <c r="D279" s="7">
        <f>'Invest. IF'!C279</f>
        <v>672</v>
      </c>
      <c r="E279" s="32" t="str">
        <f>'Invest. IF'!D279</f>
        <v>Miraflores 2</v>
      </c>
      <c r="F279" s="32" t="str">
        <f>'Invest. IF'!E279</f>
        <v>4.2.1</v>
      </c>
      <c r="G279" s="32" t="str">
        <f>'Invest. IF'!F279</f>
        <v>Quema no avisada de desechos agrícolas que se propaga libre y sin control</v>
      </c>
      <c r="H279" s="32" t="str">
        <f>'Invest. IF'!G279</f>
        <v>4.2</v>
      </c>
      <c r="I279" s="32" t="str">
        <f>'Invest. IF'!H279</f>
        <v>Faenas agrícolas y pecuarias</v>
      </c>
      <c r="J279" s="32" t="str">
        <f>'Invest. IF'!I279</f>
        <v>Negligentes</v>
      </c>
      <c r="K279" s="32" t="str">
        <f>'Invest. IF'!M279</f>
        <v>Mayo</v>
      </c>
      <c r="L279" s="32" t="str">
        <f>'Invest. IF'!N279</f>
        <v>ITA_N-278_R20-MIRAFLORES 2_NR-672</v>
      </c>
      <c r="M279" s="32" t="str">
        <f>'Invest. IF'!O279</f>
        <v>Linares</v>
      </c>
      <c r="N279" s="32">
        <f>'Invest. IF'!J279</f>
        <v>260303</v>
      </c>
      <c r="O279" s="32">
        <f>'Invest. IF'!K279</f>
        <v>6022521</v>
      </c>
    </row>
    <row r="280" spans="1:15" x14ac:dyDescent="0.2">
      <c r="A280" s="36">
        <f>'Invest. IF'!A280</f>
        <v>279</v>
      </c>
      <c r="B280" s="21" t="e">
        <f>'Invest. IF'!#REF!</f>
        <v>#REF!</v>
      </c>
      <c r="C280" s="32" t="str">
        <f>'Invest. IF'!B280</f>
        <v>San Javier</v>
      </c>
      <c r="D280" s="7">
        <f>'Invest. IF'!C280</f>
        <v>670</v>
      </c>
      <c r="E280" s="32" t="str">
        <f>'Invest. IF'!D280</f>
        <v>Orilla de Maule 5</v>
      </c>
      <c r="F280" s="32" t="str">
        <f>'Invest. IF'!E280</f>
        <v>4.2.1</v>
      </c>
      <c r="G280" s="32" t="str">
        <f>'Invest. IF'!F280</f>
        <v>Quema no avisada de desechos agrícolas que se propaga libre y sin control</v>
      </c>
      <c r="H280" s="32" t="str">
        <f>'Invest. IF'!G280</f>
        <v>4.2</v>
      </c>
      <c r="I280" s="32" t="str">
        <f>'Invest. IF'!H280</f>
        <v>Faenas agrícolas y pecuarias</v>
      </c>
      <c r="J280" s="32" t="str">
        <f>'Invest. IF'!I280</f>
        <v>Negligentes</v>
      </c>
      <c r="K280" s="32" t="str">
        <f>'Invest. IF'!M280</f>
        <v>Mayo</v>
      </c>
      <c r="L280" s="32" t="str">
        <f>'Invest. IF'!N280</f>
        <v>ITA_N-279_R20-ORILLA DE MAULE 5_NR-670</v>
      </c>
      <c r="M280" s="32" t="str">
        <f>'Invest. IF'!O280</f>
        <v>Linares</v>
      </c>
      <c r="N280" s="32">
        <f>'Invest. IF'!J280</f>
        <v>261943</v>
      </c>
      <c r="O280" s="32">
        <f>'Invest. IF'!K280</f>
        <v>6057775</v>
      </c>
    </row>
    <row r="281" spans="1:15" x14ac:dyDescent="0.2">
      <c r="A281" s="36">
        <f>'Invest. IF'!A281</f>
        <v>280</v>
      </c>
      <c r="B281" s="21" t="e">
        <f>'Invest. IF'!#REF!</f>
        <v>#REF!</v>
      </c>
      <c r="C281" s="32" t="str">
        <f>'Invest. IF'!B281</f>
        <v>Yerbas Buenas</v>
      </c>
      <c r="D281" s="7">
        <f>'Invest. IF'!C281</f>
        <v>431</v>
      </c>
      <c r="E281" s="32" t="str">
        <f>'Invest. IF'!D281</f>
        <v>San Ignacio 2</v>
      </c>
      <c r="F281" s="32" t="str">
        <f>'Invest. IF'!E281</f>
        <v>4.9.1</v>
      </c>
      <c r="G281" s="32" t="str">
        <f>'Invest. IF'!F281</f>
        <v>Combustión de la vegetación, producto del contacto o proximidad con el tendido eléctrico</v>
      </c>
      <c r="H281" s="32" t="str">
        <f>'Invest. IF'!G281</f>
        <v>4.9</v>
      </c>
      <c r="I281" s="32" t="str">
        <f>'Invest. IF'!H281</f>
        <v>Líneas eléctricas</v>
      </c>
      <c r="J281" s="32" t="str">
        <f>'Invest. IF'!I281</f>
        <v>Negligentes</v>
      </c>
      <c r="K281" s="32" t="str">
        <f>'Invest. IF'!M281</f>
        <v>Mayo</v>
      </c>
      <c r="L281" s="32" t="str">
        <f>'Invest. IF'!N281</f>
        <v>ITA_N-280_R20-SAN IGNACIO 3_NR-566</v>
      </c>
      <c r="M281" s="32" t="str">
        <f>'Invest. IF'!O281</f>
        <v>Linares</v>
      </c>
      <c r="N281" s="32">
        <f>'Invest. IF'!J281</f>
        <v>270158</v>
      </c>
      <c r="O281" s="32">
        <f>'Invest. IF'!K281</f>
        <v>6055503</v>
      </c>
    </row>
    <row r="282" spans="1:15" x14ac:dyDescent="0.2">
      <c r="A282" s="36">
        <f>'Invest. IF'!A282</f>
        <v>281</v>
      </c>
      <c r="B282" s="21" t="e">
        <f>'Invest. IF'!#REF!</f>
        <v>#REF!</v>
      </c>
      <c r="C282" s="32" t="str">
        <f>'Invest. IF'!B282</f>
        <v>Yerbas Buenas</v>
      </c>
      <c r="D282" s="7">
        <f>'Invest. IF'!C282</f>
        <v>258</v>
      </c>
      <c r="E282" s="32" t="str">
        <f>'Invest. IF'!D282</f>
        <v>El Alamo</v>
      </c>
      <c r="F282" s="32" t="str">
        <f>'Invest. IF'!E282</f>
        <v>2.1.1</v>
      </c>
      <c r="G282" s="32" t="str">
        <f>'Invest. IF'!F282</f>
        <v>Provocado, no se identifica la motivación</v>
      </c>
      <c r="H282" s="32" t="str">
        <f>'Invest. IF'!G282</f>
        <v>2.1</v>
      </c>
      <c r="I282" s="32" t="str">
        <f>'Invest. IF'!H282</f>
        <v>Incendios intencionales</v>
      </c>
      <c r="J282" s="32" t="str">
        <f>'Invest. IF'!I282</f>
        <v>Intencionales</v>
      </c>
      <c r="K282" s="32" t="str">
        <f>'Invest. IF'!M282</f>
        <v>Mayo</v>
      </c>
      <c r="L282" s="32" t="str">
        <f>'Invest. IF'!N282</f>
        <v>ITA_N-281_R20-EL ALAMO_NR-258</v>
      </c>
      <c r="M282" s="32" t="str">
        <f>'Invest. IF'!O282</f>
        <v>Linares</v>
      </c>
      <c r="N282" s="32">
        <f>'Invest. IF'!J282</f>
        <v>271388</v>
      </c>
      <c r="O282" s="32">
        <f>'Invest. IF'!K282</f>
        <v>6055470</v>
      </c>
    </row>
    <row r="283" spans="1:15" x14ac:dyDescent="0.2">
      <c r="A283" s="36">
        <f>'Invest. IF'!A283</f>
        <v>282</v>
      </c>
      <c r="B283" s="21" t="e">
        <f>'Invest. IF'!#REF!</f>
        <v>#REF!</v>
      </c>
      <c r="C283" s="32" t="str">
        <f>'Invest. IF'!B283</f>
        <v>Parral</v>
      </c>
      <c r="D283" s="7">
        <f>'Invest. IF'!C283</f>
        <v>308</v>
      </c>
      <c r="E283" s="32" t="str">
        <f>'Invest. IF'!D283</f>
        <v>San Francisco</v>
      </c>
      <c r="F283" s="32" t="str">
        <f>'Invest. IF'!E283</f>
        <v>4.2.8</v>
      </c>
      <c r="G283" s="32" t="str">
        <f>'Invest. IF'!F283</f>
        <v>Otras causas negligentes no clasificadas en faenas agrícolas y pecuarias</v>
      </c>
      <c r="H283" s="32" t="str">
        <f>'Invest. IF'!G283</f>
        <v>4.2</v>
      </c>
      <c r="I283" s="32" t="str">
        <f>'Invest. IF'!H283</f>
        <v>Faenas agrícolas y pecuarias</v>
      </c>
      <c r="J283" s="32" t="str">
        <f>'Invest. IF'!I283</f>
        <v>Negligentes</v>
      </c>
      <c r="K283" s="32" t="str">
        <f>'Invest. IF'!M283</f>
        <v>Mayo</v>
      </c>
      <c r="L283" s="32" t="str">
        <f>'Invest. IF'!N283</f>
        <v>ITA_N-282_R20-SAN FRANCISCO_NR-308</v>
      </c>
      <c r="M283" s="32" t="str">
        <f>'Invest. IF'!O283</f>
        <v>Linares</v>
      </c>
      <c r="N283" s="32">
        <f>'Invest. IF'!J283</f>
        <v>769514</v>
      </c>
      <c r="O283" s="32">
        <f>'Invest. IF'!K283</f>
        <v>6011577</v>
      </c>
    </row>
    <row r="284" spans="1:15" x14ac:dyDescent="0.2">
      <c r="A284" s="36">
        <f>'Invest. IF'!A284</f>
        <v>283</v>
      </c>
      <c r="B284" s="21" t="e">
        <f>'Invest. IF'!#REF!</f>
        <v>#REF!</v>
      </c>
      <c r="C284" s="32" t="str">
        <f>'Invest. IF'!B284</f>
        <v>Retiro</v>
      </c>
      <c r="D284" s="7">
        <f>'Invest. IF'!C284</f>
        <v>585</v>
      </c>
      <c r="E284" s="32" t="str">
        <f>'Invest. IF'!D284</f>
        <v>Los Nabos 2</v>
      </c>
      <c r="F284" s="32" t="str">
        <f>'Invest. IF'!E284</f>
        <v>4.9.5</v>
      </c>
      <c r="G284" s="32" t="str">
        <f>'Invest. IF'!F284</f>
        <v>Otras causas eléctricas negligentes no  clasificadas</v>
      </c>
      <c r="H284" s="32" t="str">
        <f>'Invest. IF'!G284</f>
        <v>4.9</v>
      </c>
      <c r="I284" s="32" t="str">
        <f>'Invest. IF'!H284</f>
        <v>Líneas eléctricas</v>
      </c>
      <c r="J284" s="32" t="str">
        <f>'Invest. IF'!I284</f>
        <v>Negligentes</v>
      </c>
      <c r="K284" s="32" t="str">
        <f>'Invest. IF'!M284</f>
        <v>Mayo</v>
      </c>
      <c r="L284" s="32" t="str">
        <f>'Invest. IF'!N284</f>
        <v>ITA_N-283_R20-LOS NABOS 2_NR-585</v>
      </c>
      <c r="M284" s="32" t="str">
        <f>'Invest. IF'!O284</f>
        <v>Linares</v>
      </c>
      <c r="N284" s="32">
        <f>'Invest. IF'!J284</f>
        <v>768775</v>
      </c>
      <c r="O284" s="32">
        <f>'Invest. IF'!K284</f>
        <v>6024589</v>
      </c>
    </row>
    <row r="285" spans="1:15" x14ac:dyDescent="0.2">
      <c r="A285" s="36">
        <f>'Invest. IF'!A285</f>
        <v>284</v>
      </c>
      <c r="B285" s="21" t="e">
        <f>'Invest. IF'!#REF!</f>
        <v>#REF!</v>
      </c>
      <c r="C285" s="32" t="str">
        <f>'Invest. IF'!B285</f>
        <v>Retiro</v>
      </c>
      <c r="D285" s="7">
        <f>'Invest. IF'!C285</f>
        <v>530</v>
      </c>
      <c r="E285" s="32" t="str">
        <f>'Invest. IF'!D285</f>
        <v>Los Nabos</v>
      </c>
      <c r="F285" s="32" t="str">
        <f>'Invest. IF'!E285</f>
        <v>4.9.5</v>
      </c>
      <c r="G285" s="32" t="str">
        <f>'Invest. IF'!F285</f>
        <v>Otras causas eléctricas negligentes no  clasificadas</v>
      </c>
      <c r="H285" s="32" t="str">
        <f>'Invest. IF'!G285</f>
        <v>4.9</v>
      </c>
      <c r="I285" s="32" t="str">
        <f>'Invest. IF'!H285</f>
        <v>Líneas eléctricas</v>
      </c>
      <c r="J285" s="32" t="str">
        <f>'Invest. IF'!I285</f>
        <v>Negligentes</v>
      </c>
      <c r="K285" s="32" t="str">
        <f>'Invest. IF'!M285</f>
        <v>Mayo</v>
      </c>
      <c r="L285" s="32" t="str">
        <f>'Invest. IF'!N285</f>
        <v>ITA_N-284_R20-LOS NABOS_NR-530</v>
      </c>
      <c r="M285" s="32" t="str">
        <f>'Invest. IF'!O285</f>
        <v>Linares</v>
      </c>
      <c r="N285" s="32">
        <f>'Invest. IF'!J285</f>
        <v>768845</v>
      </c>
      <c r="O285" s="32">
        <f>'Invest. IF'!K285</f>
        <v>6023982</v>
      </c>
    </row>
    <row r="286" spans="1:15" x14ac:dyDescent="0.2">
      <c r="A286" s="36">
        <f>'Invest. IF'!A286</f>
        <v>285</v>
      </c>
      <c r="B286" s="21" t="e">
        <f>'Invest. IF'!#REF!</f>
        <v>#REF!</v>
      </c>
      <c r="C286" s="32" t="str">
        <f>'Invest. IF'!B286</f>
        <v>Constitución</v>
      </c>
      <c r="D286" s="7">
        <f>'Invest. IF'!C286</f>
        <v>658</v>
      </c>
      <c r="E286" s="32" t="str">
        <f>'Invest. IF'!D286</f>
        <v>San Ramón</v>
      </c>
      <c r="F286" s="32" t="str">
        <f>'Invest. IF'!E286</f>
        <v>4.10.4</v>
      </c>
      <c r="G286" s="32" t="str">
        <f>'Invest. IF'!F286</f>
        <v>Acciones asociadas a fumar</v>
      </c>
      <c r="H286" s="32" t="str">
        <f>'Invest. IF'!G286</f>
        <v>4.10</v>
      </c>
      <c r="I286" s="32" t="str">
        <f>'Invest. IF'!H286</f>
        <v>Otras causas</v>
      </c>
      <c r="J286" s="32" t="str">
        <f>'Invest. IF'!I286</f>
        <v>Negligentes</v>
      </c>
      <c r="K286" s="32" t="str">
        <f>'Invest. IF'!M286</f>
        <v>Mayo</v>
      </c>
      <c r="L286" s="32" t="str">
        <f>'Invest. IF'!N286</f>
        <v>ITA_N-285_R20-SAN RAMÓN_NR-658</v>
      </c>
      <c r="M286" s="32" t="str">
        <f>'Invest. IF'!O286</f>
        <v>Talca</v>
      </c>
      <c r="N286" s="32">
        <f>'Invest. IF'!J286</f>
        <v>741256</v>
      </c>
      <c r="O286" s="32">
        <f>'Invest. IF'!K286</f>
        <v>6077426</v>
      </c>
    </row>
    <row r="287" spans="1:15" x14ac:dyDescent="0.2">
      <c r="A287" s="36">
        <f>'Invest. IF'!A287</f>
        <v>286</v>
      </c>
      <c r="B287" s="21" t="e">
        <f>'Invest. IF'!#REF!</f>
        <v>#REF!</v>
      </c>
      <c r="C287" s="32" t="str">
        <f>'Invest. IF'!B287</f>
        <v>Constitución</v>
      </c>
      <c r="D287" s="7">
        <f>'Invest. IF'!C287</f>
        <v>674</v>
      </c>
      <c r="E287" s="32" t="str">
        <f>'Invest. IF'!D287</f>
        <v>Viñales</v>
      </c>
      <c r="F287" s="32" t="str">
        <f>'Invest. IF'!E287</f>
        <v>4.11.3</v>
      </c>
      <c r="G287" s="32" t="str">
        <f>'Invest. IF'!F287</f>
        <v>Empleo de fuentes de calor en faena de extracción y/o confección de leña no industrial</v>
      </c>
      <c r="H287" s="32" t="str">
        <f>'Invest. IF'!G287</f>
        <v>4.11</v>
      </c>
      <c r="I287" s="32" t="str">
        <f>'Invest. IF'!H287</f>
        <v>Producción y/o extracción de productos y/o derivados del bosque</v>
      </c>
      <c r="J287" s="32" t="str">
        <f>'Invest. IF'!I287</f>
        <v>Negligentes</v>
      </c>
      <c r="K287" s="32" t="str">
        <f>'Invest. IF'!M287</f>
        <v>Mayo</v>
      </c>
      <c r="L287" s="32" t="str">
        <f>'Invest. IF'!N287</f>
        <v>ITA_N-286_R20-VIÑALES_NR-674</v>
      </c>
      <c r="M287" s="32" t="str">
        <f>'Invest. IF'!O287</f>
        <v>Talca</v>
      </c>
      <c r="N287" s="32">
        <f>'Invest. IF'!J287</f>
        <v>733580</v>
      </c>
      <c r="O287" s="32">
        <f>'Invest. IF'!K287</f>
        <v>6084526</v>
      </c>
    </row>
    <row r="288" spans="1:15" x14ac:dyDescent="0.2">
      <c r="A288" s="36">
        <f>'Invest. IF'!A288</f>
        <v>287</v>
      </c>
      <c r="B288" s="21" t="e">
        <f>'Invest. IF'!#REF!</f>
        <v>#REF!</v>
      </c>
      <c r="C288" s="32" t="str">
        <f>'Invest. IF'!B288</f>
        <v>Retiro</v>
      </c>
      <c r="D288" s="7">
        <f>'Invest. IF'!C288</f>
        <v>664</v>
      </c>
      <c r="E288" s="32" t="str">
        <f>'Invest. IF'!D288</f>
        <v>La Quinta</v>
      </c>
      <c r="F288" s="32" t="str">
        <f>'Invest. IF'!E288</f>
        <v>4.1.1</v>
      </c>
      <c r="G288" s="32" t="str">
        <f>'Invest. IF'!F288</f>
        <v>Quema no avisada de desechos forestales que se propaga libre y sin control</v>
      </c>
      <c r="H288" s="32" t="str">
        <f>'Invest. IF'!G288</f>
        <v>4.1</v>
      </c>
      <c r="I288" s="32" t="str">
        <f>'Invest. IF'!H288</f>
        <v>Faenas forestales</v>
      </c>
      <c r="J288" s="32" t="str">
        <f>'Invest. IF'!I288</f>
        <v>Negligentes</v>
      </c>
      <c r="K288" s="32" t="str">
        <f>'Invest. IF'!M288</f>
        <v>Mayo</v>
      </c>
      <c r="L288" s="32" t="str">
        <f>'Invest. IF'!N288</f>
        <v>ITA_N-287_R20-LA QUINTA_NR-664</v>
      </c>
      <c r="M288" s="32" t="str">
        <f>'Invest. IF'!O288</f>
        <v>Linares</v>
      </c>
      <c r="N288" s="32">
        <f>'Invest. IF'!J288</f>
        <v>232024</v>
      </c>
      <c r="O288" s="32">
        <f>'Invest. IF'!K288</f>
        <v>6025670</v>
      </c>
    </row>
    <row r="289" spans="1:15" x14ac:dyDescent="0.2">
      <c r="A289" s="36">
        <f>'Invest. IF'!A289</f>
        <v>288</v>
      </c>
      <c r="B289" s="21" t="e">
        <f>'Invest. IF'!#REF!</f>
        <v>#REF!</v>
      </c>
      <c r="C289" s="32" t="str">
        <f>'Invest. IF'!B289</f>
        <v>Sagrada Familia</v>
      </c>
      <c r="D289" s="7">
        <f>'Invest. IF'!C289</f>
        <v>676</v>
      </c>
      <c r="E289" s="32" t="str">
        <f>'Invest. IF'!D289</f>
        <v>Cruce el durazno</v>
      </c>
      <c r="F289" s="32" t="str">
        <f>'Invest. IF'!E289</f>
        <v>4.11.3</v>
      </c>
      <c r="G289" s="32" t="str">
        <f>'Invest. IF'!F289</f>
        <v>Empleo de fuentes de calor en faena de extracción y/o confección de leña no industrial</v>
      </c>
      <c r="H289" s="32" t="str">
        <f>'Invest. IF'!G289</f>
        <v>4.11</v>
      </c>
      <c r="I289" s="32" t="str">
        <f>'Invest. IF'!H289</f>
        <v>Producción y/o extracción de productos y/o derivados del bosque</v>
      </c>
      <c r="J289" s="32" t="str">
        <f>'Invest. IF'!I289</f>
        <v>Negligentes</v>
      </c>
      <c r="K289" s="32" t="str">
        <f>'Invest. IF'!M289</f>
        <v>Mayo</v>
      </c>
      <c r="L289" s="32" t="str">
        <f>'Invest. IF'!N289</f>
        <v>ITA_N-288_R20-CRUCE EL DRUAZNO_NR-676</v>
      </c>
      <c r="M289" s="32" t="str">
        <f>'Invest. IF'!O289</f>
        <v>Curicó</v>
      </c>
      <c r="N289" s="32">
        <f>'Invest. IF'!J289</f>
        <v>259704</v>
      </c>
      <c r="O289" s="32">
        <f>'Invest. IF'!K289</f>
        <v>6111593</v>
      </c>
    </row>
    <row r="290" spans="1:15" x14ac:dyDescent="0.2">
      <c r="A290" s="36">
        <f>'Invest. IF'!A290</f>
        <v>289</v>
      </c>
      <c r="B290" s="21" t="e">
        <f>'Invest. IF'!#REF!</f>
        <v>#REF!</v>
      </c>
      <c r="C290" s="32" t="str">
        <f>'Invest. IF'!B290</f>
        <v>Hualañé</v>
      </c>
      <c r="D290" s="7">
        <f>'Invest. IF'!C290</f>
        <v>671</v>
      </c>
      <c r="E290" s="32" t="str">
        <f>'Invest. IF'!D290</f>
        <v>Orilla de Valdés 2</v>
      </c>
      <c r="F290" s="32" t="str">
        <f>'Invest. IF'!E290</f>
        <v>4.8.2</v>
      </c>
      <c r="G290" s="32" t="str">
        <f>'Invest. IF'!F290</f>
        <v>Quema de basura residencial o desechos vegetales</v>
      </c>
      <c r="H290" s="32" t="str">
        <f>'Invest. IF'!G290</f>
        <v>4.8</v>
      </c>
      <c r="I290" s="32" t="str">
        <f>'Invest. IF'!H290</f>
        <v>Otras quemas</v>
      </c>
      <c r="J290" s="32" t="str">
        <f>'Invest. IF'!I290</f>
        <v>Negligentes</v>
      </c>
      <c r="K290" s="32" t="str">
        <f>'Invest. IF'!M290</f>
        <v>Mayo</v>
      </c>
      <c r="L290" s="32" t="str">
        <f>'Invest. IF'!N290</f>
        <v>ITA_N-289_R20-ORILLA DE VALDES 2_NR-671</v>
      </c>
      <c r="M290" s="32" t="str">
        <f>'Invest. IF'!O290</f>
        <v>Curicó</v>
      </c>
      <c r="N290" s="32">
        <f>'Invest. IF'!J290</f>
        <v>260543</v>
      </c>
      <c r="O290" s="32">
        <f>'Invest. IF'!K290</f>
        <v>6115608</v>
      </c>
    </row>
    <row r="291" spans="1:15" x14ac:dyDescent="0.2">
      <c r="A291" s="36">
        <f>'Invest. IF'!A291</f>
        <v>290</v>
      </c>
      <c r="B291" s="21" t="e">
        <f>'Invest. IF'!#REF!</f>
        <v>#REF!</v>
      </c>
      <c r="C291" s="32" t="str">
        <f>'Invest. IF'!B291</f>
        <v>Rauco</v>
      </c>
      <c r="D291" s="7">
        <f>'Invest. IF'!C291</f>
        <v>535</v>
      </c>
      <c r="E291" s="32" t="str">
        <f>'Invest. IF'!D291</f>
        <v>Majadillas 2</v>
      </c>
      <c r="F291" s="32" t="str">
        <f>'Invest. IF'!E291</f>
        <v>4.10.4</v>
      </c>
      <c r="G291" s="32" t="str">
        <f>'Invest. IF'!F291</f>
        <v>Acciones asociadas a fumar</v>
      </c>
      <c r="H291" s="32" t="str">
        <f>'Invest. IF'!G291</f>
        <v>4.10</v>
      </c>
      <c r="I291" s="32" t="str">
        <f>'Invest. IF'!H291</f>
        <v>Otras causas</v>
      </c>
      <c r="J291" s="32" t="str">
        <f>'Invest. IF'!I291</f>
        <v>Negligentes</v>
      </c>
      <c r="K291" s="32" t="str">
        <f>'Invest. IF'!M291</f>
        <v>Mayo</v>
      </c>
      <c r="L291" s="32" t="str">
        <f>'Invest. IF'!N291</f>
        <v>ITA_N-290_R20-MAJADILLAS 2_NR-535</v>
      </c>
      <c r="M291" s="32" t="str">
        <f>'Invest. IF'!O291</f>
        <v>Curicó</v>
      </c>
      <c r="N291" s="32">
        <f>'Invest. IF'!J291</f>
        <v>274300</v>
      </c>
      <c r="O291" s="32">
        <f>'Invest. IF'!K291</f>
        <v>6122659</v>
      </c>
    </row>
    <row r="292" spans="1:15" x14ac:dyDescent="0.2">
      <c r="A292" s="36">
        <f>'Invest. IF'!A292</f>
        <v>291</v>
      </c>
      <c r="B292" s="21" t="e">
        <f>'Invest. IF'!#REF!</f>
        <v>#REF!</v>
      </c>
      <c r="C292" s="32" t="str">
        <f>'Invest. IF'!B292</f>
        <v>Rauco</v>
      </c>
      <c r="D292" s="7">
        <f>'Invest. IF'!C292</f>
        <v>541</v>
      </c>
      <c r="E292" s="32" t="str">
        <f>'Invest. IF'!D292</f>
        <v>Majadillas 3</v>
      </c>
      <c r="F292" s="32" t="str">
        <f>'Invest. IF'!E292</f>
        <v>4.5.1</v>
      </c>
      <c r="G292" s="32" t="str">
        <f>'Invest. IF'!F292</f>
        <v>Rebrote de incendio anterior, declarado extinto</v>
      </c>
      <c r="H292" s="32" t="str">
        <f>'Invest. IF'!G292</f>
        <v>4.5</v>
      </c>
      <c r="I292" s="32" t="str">
        <f>'Invest. IF'!H292</f>
        <v>Actividades de control y extinción de incendios forestales</v>
      </c>
      <c r="J292" s="32" t="str">
        <f>'Invest. IF'!I292</f>
        <v>Negligentes</v>
      </c>
      <c r="K292" s="32" t="str">
        <f>'Invest. IF'!M292</f>
        <v>Mayo</v>
      </c>
      <c r="L292" s="32" t="str">
        <f>'Invest. IF'!N292</f>
        <v>ITA_N-291_R20-MAJADILLAS 3_NR-541</v>
      </c>
      <c r="M292" s="32" t="str">
        <f>'Invest. IF'!O292</f>
        <v>Curicó</v>
      </c>
      <c r="N292" s="32">
        <f>'Invest. IF'!J292</f>
        <v>274323</v>
      </c>
      <c r="O292" s="32">
        <f>'Invest. IF'!K292</f>
        <v>6122544</v>
      </c>
    </row>
    <row r="293" spans="1:15" x14ac:dyDescent="0.2">
      <c r="A293" s="36">
        <f>'Invest. IF'!A293</f>
        <v>292</v>
      </c>
      <c r="B293" s="21" t="e">
        <f>'Invest. IF'!#REF!</f>
        <v>#REF!</v>
      </c>
      <c r="C293" s="32" t="str">
        <f>'Invest. IF'!B293</f>
        <v>Yerbas Buenas</v>
      </c>
      <c r="D293" s="7">
        <f>'Invest. IF'!C293</f>
        <v>618</v>
      </c>
      <c r="E293" s="32" t="str">
        <f>'Invest. IF'!D293</f>
        <v>Santa Ana de Queri 3</v>
      </c>
      <c r="F293" s="32" t="str">
        <f>'Invest. IF'!E293</f>
        <v>4.2.1</v>
      </c>
      <c r="G293" s="32" t="str">
        <f>'Invest. IF'!F293</f>
        <v>Quema no avisada de desechos agrícolas que se propaga libre y sin control</v>
      </c>
      <c r="H293" s="32" t="str">
        <f>'Invest. IF'!G293</f>
        <v>4.2</v>
      </c>
      <c r="I293" s="32" t="str">
        <f>'Invest. IF'!H293</f>
        <v>Faenas agrícolas y pecuarias</v>
      </c>
      <c r="J293" s="32" t="str">
        <f>'Invest. IF'!I293</f>
        <v>Negligentes</v>
      </c>
      <c r="K293" s="32" t="str">
        <f>'Invest. IF'!M293</f>
        <v>Mayo</v>
      </c>
      <c r="L293" s="32" t="str">
        <f>'Invest. IF'!N293</f>
        <v>ITA_N-292_R20-SANTA ANA DE QUERI 3_NR-618</v>
      </c>
      <c r="M293" s="32" t="str">
        <f>'Invest. IF'!O293</f>
        <v>Linares</v>
      </c>
      <c r="N293" s="32">
        <f>'Invest. IF'!J293</f>
        <v>277273</v>
      </c>
      <c r="O293" s="32">
        <f>'Invest. IF'!K293</f>
        <v>6053720</v>
      </c>
    </row>
    <row r="294" spans="1:15" x14ac:dyDescent="0.2">
      <c r="A294" s="36">
        <f>'Invest. IF'!A294</f>
        <v>293</v>
      </c>
      <c r="B294" s="21" t="e">
        <f>'Invest. IF'!#REF!</f>
        <v>#REF!</v>
      </c>
      <c r="C294" s="32" t="str">
        <f>'Invest. IF'!B294</f>
        <v>Yerbas Buenas</v>
      </c>
      <c r="D294" s="7">
        <f>'Invest. IF'!C294</f>
        <v>275</v>
      </c>
      <c r="E294" s="32" t="str">
        <f>'Invest. IF'!D294</f>
        <v>Callejón La Laguna</v>
      </c>
      <c r="F294" s="32" t="str">
        <f>'Invest. IF'!E294</f>
        <v>4.9.1</v>
      </c>
      <c r="G294" s="32" t="str">
        <f>'Invest. IF'!F294</f>
        <v>Combustión de la vegetación, producto del contacto o proximidad con el tendido eléctrico</v>
      </c>
      <c r="H294" s="32" t="str">
        <f>'Invest. IF'!G294</f>
        <v>4.9</v>
      </c>
      <c r="I294" s="32" t="str">
        <f>'Invest. IF'!H294</f>
        <v>Líneas eléctricas</v>
      </c>
      <c r="J294" s="32" t="str">
        <f>'Invest. IF'!I294</f>
        <v>Negligentes</v>
      </c>
      <c r="K294" s="32" t="str">
        <f>'Invest. IF'!M294</f>
        <v>Mayo</v>
      </c>
      <c r="L294" s="32" t="str">
        <f>'Invest. IF'!N294</f>
        <v>ITA_N-293_R20-CALLEJÓN LA LAGUNA_NR-275</v>
      </c>
      <c r="M294" s="32" t="str">
        <f>'Invest. IF'!O294</f>
        <v>Linares</v>
      </c>
      <c r="N294" s="32">
        <f>'Invest. IF'!J294</f>
        <v>276521</v>
      </c>
      <c r="O294" s="32">
        <f>'Invest. IF'!K294</f>
        <v>6052092</v>
      </c>
    </row>
    <row r="295" spans="1:15" x14ac:dyDescent="0.2">
      <c r="A295" s="36">
        <f>'Invest. IF'!A295</f>
        <v>294</v>
      </c>
      <c r="B295" s="21" t="e">
        <f>'Invest. IF'!#REF!</f>
        <v>#REF!</v>
      </c>
      <c r="C295" s="32" t="str">
        <f>'Invest. IF'!B295</f>
        <v>Linares</v>
      </c>
      <c r="D295" s="7">
        <f>'Invest. IF'!C295</f>
        <v>378</v>
      </c>
      <c r="E295" s="32" t="str">
        <f>'Invest. IF'!D295</f>
        <v>Vara gruesa 3</v>
      </c>
      <c r="F295" s="32" t="str">
        <f>'Invest. IF'!E295</f>
        <v>4.8.2</v>
      </c>
      <c r="G295" s="32" t="str">
        <f>'Invest. IF'!F295</f>
        <v>Quema de basura residencial o desechos vegetales</v>
      </c>
      <c r="H295" s="32" t="str">
        <f>'Invest. IF'!G295</f>
        <v>4.8</v>
      </c>
      <c r="I295" s="32" t="str">
        <f>'Invest. IF'!H295</f>
        <v>Otras quemas</v>
      </c>
      <c r="J295" s="32" t="str">
        <f>'Invest. IF'!I295</f>
        <v>Negligentes</v>
      </c>
      <c r="K295" s="32" t="str">
        <f>'Invest. IF'!M295</f>
        <v>Mayo</v>
      </c>
      <c r="L295" s="32" t="str">
        <f>'Invest. IF'!N295</f>
        <v>ITA_N-294_R20-VARA GRUESA 3_NR-378</v>
      </c>
      <c r="M295" s="32" t="str">
        <f>'Invest. IF'!O295</f>
        <v>Linares</v>
      </c>
      <c r="N295" s="32">
        <f>'Invest. IF'!J295</f>
        <v>273185</v>
      </c>
      <c r="O295" s="32">
        <f>'Invest. IF'!K295</f>
        <v>6030692</v>
      </c>
    </row>
    <row r="296" spans="1:15" x14ac:dyDescent="0.2">
      <c r="A296" s="36">
        <f>'Invest. IF'!A296</f>
        <v>295</v>
      </c>
      <c r="B296" s="21" t="e">
        <f>'Invest. IF'!#REF!</f>
        <v>#REF!</v>
      </c>
      <c r="C296" s="32" t="str">
        <f>'Invest. IF'!B296</f>
        <v>Linares</v>
      </c>
      <c r="D296" s="7">
        <f>'Invest. IF'!C296</f>
        <v>367</v>
      </c>
      <c r="E296" s="32" t="str">
        <f>'Invest. IF'!D296</f>
        <v>El manzano</v>
      </c>
      <c r="F296" s="32" t="str">
        <f>'Invest. IF'!E296</f>
        <v>4.6.1</v>
      </c>
      <c r="G296" s="32" t="str">
        <f>'Invest. IF'!F296</f>
        <v>Generado por el uso de equipos o herramientas con fines de construcción, limpieza o montaje de estructuras</v>
      </c>
      <c r="H296" s="32" t="str">
        <f>'Invest. IF'!G296</f>
        <v>4.6</v>
      </c>
      <c r="I296" s="32" t="str">
        <f>'Invest. IF'!H296</f>
        <v>Parcelaciones, edificaciones residenciales, industriales u otras en zonas rurales o de interfaz</v>
      </c>
      <c r="J296" s="32" t="str">
        <f>'Invest. IF'!I296</f>
        <v>Negligentes</v>
      </c>
      <c r="K296" s="32" t="str">
        <f>'Invest. IF'!M296</f>
        <v>Mayo</v>
      </c>
      <c r="L296" s="32" t="str">
        <f>'Invest. IF'!N296</f>
        <v>ITA_N-295_R20-EL MANZANO_NR-367</v>
      </c>
      <c r="M296" s="32" t="str">
        <f>'Invest. IF'!O296</f>
        <v>Linares</v>
      </c>
      <c r="N296" s="32">
        <f>'Invest. IF'!J296</f>
        <v>278572</v>
      </c>
      <c r="O296" s="32">
        <f>'Invest. IF'!K296</f>
        <v>6022681</v>
      </c>
    </row>
    <row r="297" spans="1:15" x14ac:dyDescent="0.2">
      <c r="A297" s="36">
        <f>'Invest. IF'!A297</f>
        <v>296</v>
      </c>
      <c r="B297" s="21" t="e">
        <f>'Invest. IF'!#REF!</f>
        <v>#REF!</v>
      </c>
      <c r="C297" s="32" t="str">
        <f>'Invest. IF'!B297</f>
        <v>Curicó</v>
      </c>
      <c r="D297" s="7">
        <f>'Invest. IF'!C297</f>
        <v>226</v>
      </c>
      <c r="E297" s="32" t="str">
        <f>'Invest. IF'!D297</f>
        <v>La Florida</v>
      </c>
      <c r="F297" s="32" t="str">
        <f>'Invest. IF'!E297</f>
        <v>4.8.2</v>
      </c>
      <c r="G297" s="32" t="str">
        <f>'Invest. IF'!F297</f>
        <v>Quema de basura residencial o desechos vegetales</v>
      </c>
      <c r="H297" s="32" t="str">
        <f>'Invest. IF'!G297</f>
        <v>4.8</v>
      </c>
      <c r="I297" s="32" t="str">
        <f>'Invest. IF'!H297</f>
        <v>Otras quemas</v>
      </c>
      <c r="J297" s="32" t="str">
        <f>'Invest. IF'!I297</f>
        <v>Negligentes</v>
      </c>
      <c r="K297" s="32" t="str">
        <f>'Invest. IF'!M297</f>
        <v>Mayo</v>
      </c>
      <c r="L297" s="32" t="str">
        <f>'Invest. IF'!N297</f>
        <v>ITA_N-296_R20-LA FLORIDA_NR-226</v>
      </c>
      <c r="M297" s="32" t="str">
        <f>'Invest. IF'!O297</f>
        <v>Curicó</v>
      </c>
      <c r="N297" s="32">
        <f>'Invest. IF'!J297</f>
        <v>306130</v>
      </c>
      <c r="O297" s="32">
        <f>'Invest. IF'!K297</f>
        <v>6115593</v>
      </c>
    </row>
    <row r="298" spans="1:15" x14ac:dyDescent="0.2">
      <c r="A298" s="36">
        <f>'Invest. IF'!A298</f>
        <v>297</v>
      </c>
      <c r="B298" s="21" t="e">
        <f>'Invest. IF'!#REF!</f>
        <v>#REF!</v>
      </c>
      <c r="C298" s="32" t="str">
        <f>'Invest. IF'!B298</f>
        <v>Curicó</v>
      </c>
      <c r="D298" s="7">
        <f>'Invest. IF'!C298</f>
        <v>326</v>
      </c>
      <c r="E298" s="32" t="str">
        <f>'Invest. IF'!D298</f>
        <v>Altos de Bellavista</v>
      </c>
      <c r="F298" s="32" t="str">
        <f>'Invest. IF'!E298</f>
        <v>4.8.2</v>
      </c>
      <c r="G298" s="32" t="str">
        <f>'Invest. IF'!F298</f>
        <v>Quema de basura residencial o desechos vegetales</v>
      </c>
      <c r="H298" s="32" t="str">
        <f>'Invest. IF'!G298</f>
        <v>4.8</v>
      </c>
      <c r="I298" s="32" t="str">
        <f>'Invest. IF'!H298</f>
        <v>Otras quemas</v>
      </c>
      <c r="J298" s="32" t="str">
        <f>'Invest. IF'!I298</f>
        <v>Negligentes</v>
      </c>
      <c r="K298" s="32" t="str">
        <f>'Invest. IF'!M298</f>
        <v>Mayo</v>
      </c>
      <c r="L298" s="32" t="str">
        <f>'Invest. IF'!N298</f>
        <v>ITA_N-297_R20-ALTOS DE BELLAVISTA_NR-326</v>
      </c>
      <c r="M298" s="32" t="str">
        <f>'Invest. IF'!O298</f>
        <v>Curicó</v>
      </c>
      <c r="N298" s="32">
        <f>'Invest. IF'!J298</f>
        <v>306043</v>
      </c>
      <c r="O298" s="32">
        <f>'Invest. IF'!K298</f>
        <v>6112722</v>
      </c>
    </row>
    <row r="299" spans="1:15" x14ac:dyDescent="0.2">
      <c r="A299" s="36">
        <f>'Invest. IF'!A299</f>
        <v>298</v>
      </c>
      <c r="B299" s="21" t="e">
        <f>'Invest. IF'!#REF!</f>
        <v>#REF!</v>
      </c>
      <c r="C299" s="32" t="str">
        <f>'Invest. IF'!B299</f>
        <v>Curepto</v>
      </c>
      <c r="D299" s="7">
        <f>'Invest. IF'!C299</f>
        <v>559</v>
      </c>
      <c r="E299" s="32" t="str">
        <f>'Invest. IF'!D299</f>
        <v>Los Cruceros arancibia</v>
      </c>
      <c r="F299" s="32" t="str">
        <f>'Invest. IF'!E299</f>
        <v>1.6.1</v>
      </c>
      <c r="G299" s="32" t="str">
        <f>'Invest. IF'!F299</f>
        <v>Incendio estructural</v>
      </c>
      <c r="H299" s="32" t="str">
        <f>'Invest. IF'!G299</f>
        <v>1.6</v>
      </c>
      <c r="I299" s="32" t="str">
        <f>'Invest. IF'!H299</f>
        <v>Parcelaciones, edificaciones residenciales, industriales u otras en zonas rurales o de interfaz</v>
      </c>
      <c r="J299" s="32" t="str">
        <f>'Invest. IF'!I299</f>
        <v>Accidentales</v>
      </c>
      <c r="K299" s="32" t="str">
        <f>'Invest. IF'!M299</f>
        <v>Mayo</v>
      </c>
      <c r="L299" s="32" t="str">
        <f>'Invest. IF'!N299</f>
        <v>ITA_N-298_R20-LOS CRUCEROS ARANCIBIA_NR-559</v>
      </c>
      <c r="M299" s="32" t="str">
        <f>'Invest. IF'!O299</f>
        <v>Talca</v>
      </c>
      <c r="N299" s="32">
        <f>'Invest. IF'!J299</f>
        <v>768296</v>
      </c>
      <c r="O299" s="32">
        <f>'Invest. IF'!K299</f>
        <v>6094680</v>
      </c>
    </row>
    <row r="300" spans="1:15" x14ac:dyDescent="0.2">
      <c r="A300" s="36">
        <f>'Invest. IF'!A300</f>
        <v>299</v>
      </c>
      <c r="B300" s="21" t="e">
        <f>'Invest. IF'!#REF!</f>
        <v>#REF!</v>
      </c>
      <c r="C300" s="32" t="str">
        <f>'Invest. IF'!B300</f>
        <v>Pencahue</v>
      </c>
      <c r="D300" s="7">
        <f>'Invest. IF'!C300</f>
        <v>663</v>
      </c>
      <c r="E300" s="32" t="str">
        <f>'Invest. IF'!D300</f>
        <v xml:space="preserve">La Orilla </v>
      </c>
      <c r="F300" s="32" t="str">
        <f>'Invest. IF'!E300</f>
        <v>4.8.3</v>
      </c>
      <c r="G300" s="32" t="str">
        <f>'Invest. IF'!F300</f>
        <v>Quema de desechos industriales</v>
      </c>
      <c r="H300" s="32" t="str">
        <f>'Invest. IF'!G300</f>
        <v>4.8</v>
      </c>
      <c r="I300" s="32" t="str">
        <f>'Invest. IF'!H300</f>
        <v>Otras quemas</v>
      </c>
      <c r="J300" s="32" t="str">
        <f>'Invest. IF'!I300</f>
        <v>Negligentes</v>
      </c>
      <c r="K300" s="32" t="str">
        <f>'Invest. IF'!M300</f>
        <v>Mayo</v>
      </c>
      <c r="L300" s="32" t="str">
        <f>'Invest. IF'!N300</f>
        <v>ITA_N-299_R20-LA ORILLA_NR-663</v>
      </c>
      <c r="M300" s="32" t="str">
        <f>'Invest. IF'!O300</f>
        <v>Talca</v>
      </c>
      <c r="N300" s="32">
        <f>'Invest. IF'!J300</f>
        <v>250353</v>
      </c>
      <c r="O300" s="32">
        <f>'Invest. IF'!K300</f>
        <v>6074294</v>
      </c>
    </row>
    <row r="301" spans="1:15" x14ac:dyDescent="0.2">
      <c r="A301" s="36">
        <f>'Invest. IF'!A301</f>
        <v>300</v>
      </c>
      <c r="B301" s="21" t="e">
        <f>'Invest. IF'!#REF!</f>
        <v>#REF!</v>
      </c>
      <c r="C301" s="32" t="str">
        <f>'Invest. IF'!B301</f>
        <v>Cauquenes</v>
      </c>
      <c r="D301" s="7">
        <f>'Invest. IF'!C301</f>
        <v>135</v>
      </c>
      <c r="E301" s="32" t="str">
        <f>'Invest. IF'!D301</f>
        <v>La Higuera</v>
      </c>
      <c r="F301" s="32" t="str">
        <f>'Invest. IF'!E301</f>
        <v>4.10.12</v>
      </c>
      <c r="G301" s="32" t="str">
        <f>'Invest. IF'!F301</f>
        <v>Otras actividades negligentes no clasificadas</v>
      </c>
      <c r="H301" s="32" t="str">
        <f>'Invest. IF'!G301</f>
        <v>4.10</v>
      </c>
      <c r="I301" s="32" t="str">
        <f>'Invest. IF'!H301</f>
        <v>Otras causas</v>
      </c>
      <c r="J301" s="32" t="str">
        <f>'Invest. IF'!I301</f>
        <v>Negligentes</v>
      </c>
      <c r="K301" s="32" t="str">
        <f>'Invest. IF'!M301</f>
        <v>Mayo</v>
      </c>
      <c r="L301" s="32" t="str">
        <f>'Invest. IF'!N301</f>
        <v>ITA_N-300_R20-LA HIGUERA_NR-135</v>
      </c>
      <c r="M301" s="32" t="str">
        <f>'Invest. IF'!O301</f>
        <v>Cauquenes</v>
      </c>
      <c r="N301" s="32">
        <f>'Invest. IF'!J301</f>
        <v>742794</v>
      </c>
      <c r="O301" s="32">
        <f>'Invest. IF'!K301</f>
        <v>6016546</v>
      </c>
    </row>
    <row r="302" spans="1:15" x14ac:dyDescent="0.2">
      <c r="A302" s="36">
        <f>'Invest. IF'!A302</f>
        <v>301</v>
      </c>
      <c r="B302" s="21" t="e">
        <f>'Invest. IF'!#REF!</f>
        <v>#REF!</v>
      </c>
      <c r="C302" s="32" t="str">
        <f>'Invest. IF'!B302</f>
        <v>Cauquenes</v>
      </c>
      <c r="D302" s="7">
        <f>'Invest. IF'!C302</f>
        <v>151</v>
      </c>
      <c r="E302" s="32" t="str">
        <f>'Invest. IF'!D302</f>
        <v>Barrio estación</v>
      </c>
      <c r="F302" s="32" t="str">
        <f>'Invest. IF'!E302</f>
        <v>4.8.2</v>
      </c>
      <c r="G302" s="32" t="str">
        <f>'Invest. IF'!F302</f>
        <v>Quema de basura residencial o desechos vegetales</v>
      </c>
      <c r="H302" s="32" t="str">
        <f>'Invest. IF'!G302</f>
        <v>4.8</v>
      </c>
      <c r="I302" s="32" t="str">
        <f>'Invest. IF'!H302</f>
        <v>Otras quemas</v>
      </c>
      <c r="J302" s="32" t="str">
        <f>'Invest. IF'!I302</f>
        <v>Negligentes</v>
      </c>
      <c r="K302" s="32" t="str">
        <f>'Invest. IF'!M302</f>
        <v>Mayo</v>
      </c>
      <c r="L302" s="32" t="str">
        <f>'Invest. IF'!N302</f>
        <v>ITA_N-301_R20-BARRIO ESTACIÓN_NR-151</v>
      </c>
      <c r="M302" s="32" t="str">
        <f>'Invest. IF'!O302</f>
        <v>Cauquenes</v>
      </c>
      <c r="N302" s="32">
        <f>'Invest. IF'!J302</f>
        <v>741568</v>
      </c>
      <c r="O302" s="32">
        <f>'Invest. IF'!K302</f>
        <v>6013486</v>
      </c>
    </row>
    <row r="303" spans="1:15" x14ac:dyDescent="0.2">
      <c r="A303" s="36">
        <f>'Invest. IF'!A303</f>
        <v>302</v>
      </c>
      <c r="B303" s="21" t="e">
        <f>'Invest. IF'!#REF!</f>
        <v>#REF!</v>
      </c>
      <c r="C303" s="32" t="str">
        <f>'Invest. IF'!B303</f>
        <v>Cauquenes</v>
      </c>
      <c r="D303" s="7">
        <f>'Invest. IF'!C303</f>
        <v>473</v>
      </c>
      <c r="E303" s="32" t="str">
        <f>'Invest. IF'!D303</f>
        <v>El Castillo (particular)</v>
      </c>
      <c r="F303" s="32" t="str">
        <f>'Invest. IF'!E303</f>
        <v>2.1.5</v>
      </c>
      <c r="G303" s="32" t="str">
        <f>'Invest. IF'!F303</f>
        <v>Obtención beneficios económicos (compra de madera, presión por trabajo, robo  maderero, otros)</v>
      </c>
      <c r="H303" s="32" t="str">
        <f>'Invest. IF'!G303</f>
        <v>2.1</v>
      </c>
      <c r="I303" s="32" t="str">
        <f>'Invest. IF'!H303</f>
        <v>Incendios intencionales</v>
      </c>
      <c r="J303" s="32" t="str">
        <f>'Invest. IF'!I303</f>
        <v>Intencionales</v>
      </c>
      <c r="K303" s="32" t="str">
        <f>'Invest. IF'!M303</f>
        <v>Mayo</v>
      </c>
      <c r="L303" s="32" t="str">
        <f>'Invest. IF'!N303</f>
        <v>ITA_N-302_R20-EL CASTILLO (PARTICULAR)_NR-473</v>
      </c>
      <c r="M303" s="32" t="str">
        <f>'Invest. IF'!O303</f>
        <v>Cauquenes</v>
      </c>
      <c r="N303" s="32">
        <f>'Invest. IF'!J303</f>
        <v>736183</v>
      </c>
      <c r="O303" s="32">
        <f>'Invest. IF'!K303</f>
        <v>6022601</v>
      </c>
    </row>
    <row r="304" spans="1:15" x14ac:dyDescent="0.2">
      <c r="A304" s="36">
        <f>'Invest. IF'!A304</f>
        <v>303</v>
      </c>
      <c r="B304" s="21" t="e">
        <f>'Invest. IF'!#REF!</f>
        <v>#REF!</v>
      </c>
      <c r="C304" s="32" t="str">
        <f>'Invest. IF'!B304</f>
        <v>Pencahue</v>
      </c>
      <c r="D304" s="7">
        <f>'Invest. IF'!C304</f>
        <v>186</v>
      </c>
      <c r="E304" s="32" t="str">
        <f>'Invest. IF'!D304</f>
        <v>Curtiduria</v>
      </c>
      <c r="F304" s="32" t="str">
        <f>'Invest. IF'!E304</f>
        <v>4.10.12</v>
      </c>
      <c r="G304" s="32" t="str">
        <f>'Invest. IF'!F304</f>
        <v>Otras actividades negligentes no clasificadas</v>
      </c>
      <c r="H304" s="32" t="str">
        <f>'Invest. IF'!G304</f>
        <v>4.10</v>
      </c>
      <c r="I304" s="32" t="str">
        <f>'Invest. IF'!H304</f>
        <v>Otras causas</v>
      </c>
      <c r="J304" s="32" t="str">
        <f>'Invest. IF'!I304</f>
        <v>Negligentes</v>
      </c>
      <c r="K304" s="32" t="str">
        <f>'Invest. IF'!M304</f>
        <v>Mayo</v>
      </c>
      <c r="L304" s="32" t="str">
        <f>'Invest. IF'!N304</f>
        <v>ITA_N-303_R20-CURTIDURIA_NR-186</v>
      </c>
      <c r="M304" s="32" t="str">
        <f>'Invest. IF'!O304</f>
        <v>Talca</v>
      </c>
      <c r="N304" s="32">
        <f>'Invest. IF'!J304</f>
        <v>236615</v>
      </c>
      <c r="O304" s="32">
        <f>'Invest. IF'!K304</f>
        <v>6071927</v>
      </c>
    </row>
    <row r="305" spans="1:15" x14ac:dyDescent="0.2">
      <c r="A305" s="36">
        <f>'Invest. IF'!A305</f>
        <v>304</v>
      </c>
      <c r="B305" s="21" t="e">
        <f>'Invest. IF'!#REF!</f>
        <v>#REF!</v>
      </c>
      <c r="C305" s="32" t="str">
        <f>'Invest. IF'!B305</f>
        <v>Pencahue</v>
      </c>
      <c r="D305" s="7">
        <f>'Invest. IF'!C305</f>
        <v>369</v>
      </c>
      <c r="E305" s="32" t="str">
        <f>'Invest. IF'!D305</f>
        <v>La Palma</v>
      </c>
      <c r="F305" s="32" t="str">
        <f>'Invest. IF'!E305</f>
        <v>2.1.1</v>
      </c>
      <c r="G305" s="32" t="str">
        <f>'Invest. IF'!F305</f>
        <v>Provocado, no se identifica la motivación</v>
      </c>
      <c r="H305" s="32" t="str">
        <f>'Invest. IF'!G305</f>
        <v>2.1</v>
      </c>
      <c r="I305" s="32" t="str">
        <f>'Invest. IF'!H305</f>
        <v>Incendios intencionales</v>
      </c>
      <c r="J305" s="32" t="str">
        <f>'Invest. IF'!I305</f>
        <v>Intencionales</v>
      </c>
      <c r="K305" s="32" t="str">
        <f>'Invest. IF'!M305</f>
        <v>Mayo</v>
      </c>
      <c r="L305" s="32" t="str">
        <f>'Invest. IF'!N305</f>
        <v>ITA_N-304_R20-LA PALMA_NR-369</v>
      </c>
      <c r="M305" s="32" t="str">
        <f>'Invest. IF'!O305</f>
        <v>Talca</v>
      </c>
      <c r="N305" s="32">
        <f>'Invest. IF'!J305</f>
        <v>235317</v>
      </c>
      <c r="O305" s="32">
        <f>'Invest. IF'!K305</f>
        <v>6072297</v>
      </c>
    </row>
    <row r="306" spans="1:15" x14ac:dyDescent="0.2">
      <c r="A306" s="36">
        <f>'Invest. IF'!A306</f>
        <v>305</v>
      </c>
      <c r="B306" s="21" t="e">
        <f>'Invest. IF'!#REF!</f>
        <v>#REF!</v>
      </c>
      <c r="C306" s="32" t="str">
        <f>'Invest. IF'!B306</f>
        <v>Pencahue</v>
      </c>
      <c r="D306" s="7">
        <f>'Invest. IF'!C306</f>
        <v>651</v>
      </c>
      <c r="E306" s="32" t="str">
        <f>'Invest. IF'!D306</f>
        <v>Villa Rauquen</v>
      </c>
      <c r="F306" s="32" t="str">
        <f>'Invest. IF'!E306</f>
        <v>4.10.4</v>
      </c>
      <c r="G306" s="32" t="str">
        <f>'Invest. IF'!F306</f>
        <v>Acciones asociadas a fumar</v>
      </c>
      <c r="H306" s="32" t="str">
        <f>'Invest. IF'!G306</f>
        <v>4.10</v>
      </c>
      <c r="I306" s="32" t="str">
        <f>'Invest. IF'!H306</f>
        <v>Otras causas</v>
      </c>
      <c r="J306" s="32" t="str">
        <f>'Invest. IF'!I306</f>
        <v>Negligentes</v>
      </c>
      <c r="K306" s="32" t="str">
        <f>'Invest. IF'!M306</f>
        <v>Mayo</v>
      </c>
      <c r="L306" s="32" t="str">
        <f>'Invest. IF'!N306</f>
        <v>ITA_N-305_R20-VILLA RAUQUEN_NR-651</v>
      </c>
      <c r="M306" s="32" t="str">
        <f>'Invest. IF'!O306</f>
        <v>Talca</v>
      </c>
      <c r="N306" s="32">
        <f>'Invest. IF'!J306</f>
        <v>253601</v>
      </c>
      <c r="O306" s="32">
        <f>'Invest. IF'!K306</f>
        <v>6076773</v>
      </c>
    </row>
    <row r="307" spans="1:15" x14ac:dyDescent="0.2">
      <c r="A307" s="36">
        <f>'Invest. IF'!A307</f>
        <v>306</v>
      </c>
      <c r="B307" s="21" t="e">
        <f>'Invest. IF'!#REF!</f>
        <v>#REF!</v>
      </c>
      <c r="C307" s="32" t="str">
        <f>'Invest. IF'!B307</f>
        <v>Curicó</v>
      </c>
      <c r="D307" s="7">
        <f>'Invest. IF'!C307</f>
        <v>492</v>
      </c>
      <c r="E307" s="32" t="str">
        <f>'Invest. IF'!D307</f>
        <v>Vaticano</v>
      </c>
      <c r="F307" s="32" t="str">
        <f>'Invest. IF'!E307</f>
        <v>4.10.11</v>
      </c>
      <c r="G307" s="32" t="str">
        <f>'Invest. IF'!F307</f>
        <v>Empleo de fuentes de calor por personas en situación de calle</v>
      </c>
      <c r="H307" s="32" t="str">
        <f>'Invest. IF'!G307</f>
        <v>4.10</v>
      </c>
      <c r="I307" s="32" t="str">
        <f>'Invest. IF'!H307</f>
        <v>Otras causas</v>
      </c>
      <c r="J307" s="32" t="str">
        <f>'Invest. IF'!I307</f>
        <v>Negligentes</v>
      </c>
      <c r="K307" s="32" t="str">
        <f>'Invest. IF'!M307</f>
        <v>Mayo</v>
      </c>
      <c r="L307" s="32" t="str">
        <f>'Invest. IF'!N307</f>
        <v>ITA_N-306_R20-VATICANO_NR-492</v>
      </c>
      <c r="M307" s="32" t="str">
        <f>'Invest. IF'!O307</f>
        <v>Curicó</v>
      </c>
      <c r="N307" s="32">
        <f>'Invest. IF'!J307</f>
        <v>293833</v>
      </c>
      <c r="O307" s="32">
        <f>'Invest. IF'!K307</f>
        <v>6125908</v>
      </c>
    </row>
    <row r="308" spans="1:15" x14ac:dyDescent="0.2">
      <c r="A308" s="36">
        <f>'Invest. IF'!A308</f>
        <v>307</v>
      </c>
      <c r="B308" s="21" t="e">
        <f>'Invest. IF'!#REF!</f>
        <v>#REF!</v>
      </c>
      <c r="C308" s="32" t="str">
        <f>'Invest. IF'!B308</f>
        <v>Sagrada Familia</v>
      </c>
      <c r="D308" s="7">
        <f>'Invest. IF'!C308</f>
        <v>483</v>
      </c>
      <c r="E308" s="32" t="str">
        <f>'Invest. IF'!D308</f>
        <v xml:space="preserve">Trapiche bajo </v>
      </c>
      <c r="F308" s="32" t="str">
        <f>'Invest. IF'!E308</f>
        <v>4.2.1</v>
      </c>
      <c r="G308" s="32" t="str">
        <f>'Invest. IF'!F308</f>
        <v>Quema no avisada de desechos agrícolas que se propaga libre y sin control</v>
      </c>
      <c r="H308" s="32" t="str">
        <f>'Invest. IF'!G308</f>
        <v>4.2</v>
      </c>
      <c r="I308" s="32" t="str">
        <f>'Invest. IF'!H308</f>
        <v>Faenas agrícolas y pecuarias</v>
      </c>
      <c r="J308" s="32" t="str">
        <f>'Invest. IF'!I308</f>
        <v>Negligentes</v>
      </c>
      <c r="K308" s="32" t="str">
        <f>'Invest. IF'!M308</f>
        <v>Mayo</v>
      </c>
      <c r="L308" s="32" t="str">
        <f>'Invest. IF'!N308</f>
        <v>ITA_N-307_R20-TRAPICHE BAJO_NR-483</v>
      </c>
      <c r="M308" s="32" t="str">
        <f>'Invest. IF'!O308</f>
        <v>Curicó</v>
      </c>
      <c r="N308" s="32">
        <f>'Invest. IF'!J308</f>
        <v>293360</v>
      </c>
      <c r="O308" s="32">
        <f>'Invest. IF'!K308</f>
        <v>6122359</v>
      </c>
    </row>
    <row r="309" spans="1:15" x14ac:dyDescent="0.2">
      <c r="A309" s="36">
        <f>'Invest. IF'!A309</f>
        <v>308</v>
      </c>
      <c r="B309" s="21" t="e">
        <f>'Invest. IF'!#REF!</f>
        <v>#REF!</v>
      </c>
      <c r="C309" s="32" t="str">
        <f>'Invest. IF'!B309</f>
        <v>Sagrada Familia</v>
      </c>
      <c r="D309" s="7">
        <f>'Invest. IF'!C309</f>
        <v>502</v>
      </c>
      <c r="E309" s="32" t="str">
        <f>'Invest. IF'!D309</f>
        <v>Trapiche bajo 2</v>
      </c>
      <c r="F309" s="32" t="str">
        <f>'Invest. IF'!E309</f>
        <v>4.8.1</v>
      </c>
      <c r="G309" s="32" t="str">
        <f>'Invest. IF'!F309</f>
        <v>Quema no avisada con fines de limpieza en canales, cunetas, cercos o caminos (en predios particulares o públicos) que se propaga libre y sin control</v>
      </c>
      <c r="H309" s="32" t="str">
        <f>'Invest. IF'!G309</f>
        <v>4.8</v>
      </c>
      <c r="I309" s="32" t="str">
        <f>'Invest. IF'!H309</f>
        <v>Otras quemas</v>
      </c>
      <c r="J309" s="32" t="str">
        <f>'Invest. IF'!I309</f>
        <v>Negligentes</v>
      </c>
      <c r="K309" s="32" t="str">
        <f>'Invest. IF'!M309</f>
        <v>Mayo</v>
      </c>
      <c r="L309" s="32" t="str">
        <f>'Invest. IF'!N309</f>
        <v>ITA_N-308_R20-TRAPICHE BAJO 2_NR-502</v>
      </c>
      <c r="M309" s="32" t="str">
        <f>'Invest. IF'!O309</f>
        <v>Curicó</v>
      </c>
      <c r="N309" s="32">
        <f>'Invest. IF'!J309</f>
        <v>293613</v>
      </c>
      <c r="O309" s="32">
        <f>'Invest. IF'!K309</f>
        <v>6122560</v>
      </c>
    </row>
    <row r="310" spans="1:15" x14ac:dyDescent="0.2">
      <c r="A310" s="36">
        <f>'Invest. IF'!A310</f>
        <v>309</v>
      </c>
      <c r="B310" s="21" t="e">
        <f>'Invest. IF'!#REF!</f>
        <v>#REF!</v>
      </c>
      <c r="C310" s="32" t="str">
        <f>'Invest. IF'!B310</f>
        <v>Parral</v>
      </c>
      <c r="D310" s="7">
        <f>'Invest. IF'!C310</f>
        <v>388</v>
      </c>
      <c r="E310" s="32" t="str">
        <f>'Invest. IF'!D310</f>
        <v>Santa Elisa</v>
      </c>
      <c r="F310" s="32" t="str">
        <f>'Invest. IF'!E310</f>
        <v>4.10.12</v>
      </c>
      <c r="G310" s="32" t="str">
        <f>'Invest. IF'!F310</f>
        <v>Otras actividades negligentes no clasificadas</v>
      </c>
      <c r="H310" s="32" t="str">
        <f>'Invest. IF'!G310</f>
        <v>4.10</v>
      </c>
      <c r="I310" s="32" t="str">
        <f>'Invest. IF'!H310</f>
        <v>Otras causas</v>
      </c>
      <c r="J310" s="32" t="str">
        <f>'Invest. IF'!I310</f>
        <v>Negligentes</v>
      </c>
      <c r="K310" s="32" t="str">
        <f>'Invest. IF'!M310</f>
        <v>Mayo</v>
      </c>
      <c r="L310" s="32" t="str">
        <f>'Invest. IF'!N310</f>
        <v>ITA_N-309_R20-SANTA ELISA_NR-388</v>
      </c>
      <c r="M310" s="32" t="str">
        <f>'Invest. IF'!O310</f>
        <v>Linares</v>
      </c>
      <c r="N310" s="32">
        <f>'Invest. IF'!J310</f>
        <v>245813</v>
      </c>
      <c r="O310" s="32">
        <f>'Invest. IF'!K310</f>
        <v>5998321</v>
      </c>
    </row>
    <row r="311" spans="1:15" x14ac:dyDescent="0.2">
      <c r="A311" s="36">
        <f>'Invest. IF'!A311</f>
        <v>310</v>
      </c>
      <c r="B311" s="21" t="e">
        <f>'Invest. IF'!#REF!</f>
        <v>#REF!</v>
      </c>
      <c r="C311" s="32" t="str">
        <f>'Invest. IF'!B311</f>
        <v>Parral</v>
      </c>
      <c r="D311" s="7">
        <f>'Invest. IF'!C311</f>
        <v>247</v>
      </c>
      <c r="E311" s="32" t="str">
        <f>'Invest. IF'!D311</f>
        <v>La Gloria</v>
      </c>
      <c r="F311" s="32" t="str">
        <f>'Invest. IF'!E311</f>
        <v>4.10.12</v>
      </c>
      <c r="G311" s="32" t="str">
        <f>'Invest. IF'!F311</f>
        <v>Otras actividades negligentes no clasificadas</v>
      </c>
      <c r="H311" s="32" t="str">
        <f>'Invest. IF'!G311</f>
        <v>4.10</v>
      </c>
      <c r="I311" s="32" t="str">
        <f>'Invest. IF'!H311</f>
        <v>Otras causas</v>
      </c>
      <c r="J311" s="32" t="str">
        <f>'Invest. IF'!I311</f>
        <v>Negligentes</v>
      </c>
      <c r="K311" s="32" t="str">
        <f>'Invest. IF'!M311</f>
        <v>Mayo</v>
      </c>
      <c r="L311" s="32" t="str">
        <f>'Invest. IF'!N311</f>
        <v>ITA_N-310_R20-LA GLORIA_NR-247</v>
      </c>
      <c r="M311" s="32" t="str">
        <f>'Invest. IF'!O311</f>
        <v>Linares</v>
      </c>
      <c r="N311" s="32">
        <f>'Invest. IF'!J311</f>
        <v>245582</v>
      </c>
      <c r="O311" s="32">
        <f>'Invest. IF'!K311</f>
        <v>5998395</v>
      </c>
    </row>
    <row r="312" spans="1:15" x14ac:dyDescent="0.2">
      <c r="A312" s="36">
        <f>'Invest. IF'!A312</f>
        <v>311</v>
      </c>
      <c r="B312" s="21" t="e">
        <f>'Invest. IF'!#REF!</f>
        <v>#REF!</v>
      </c>
      <c r="C312" s="32" t="str">
        <f>'Invest. IF'!B312</f>
        <v>Talca</v>
      </c>
      <c r="D312" s="7">
        <f>'Invest. IF'!C312</f>
        <v>392</v>
      </c>
      <c r="E312" s="32" t="str">
        <f>'Invest. IF'!D312</f>
        <v>Puente Piduco</v>
      </c>
      <c r="F312" s="32" t="str">
        <f>'Invest. IF'!E312</f>
        <v>4.10.11</v>
      </c>
      <c r="G312" s="32" t="str">
        <f>'Invest. IF'!F312</f>
        <v>Empleo de fuentes de calor por personas en situación de calle</v>
      </c>
      <c r="H312" s="32" t="str">
        <f>'Invest. IF'!G312</f>
        <v>4.10</v>
      </c>
      <c r="I312" s="32" t="str">
        <f>'Invest. IF'!H312</f>
        <v>Otras causas</v>
      </c>
      <c r="J312" s="32" t="str">
        <f>'Invest. IF'!I312</f>
        <v>Negligentes</v>
      </c>
      <c r="K312" s="32" t="str">
        <f>'Invest. IF'!M312</f>
        <v>Mayo</v>
      </c>
      <c r="L312" s="32" t="str">
        <f>'Invest. IF'!N312</f>
        <v>ITA_N-311_R20-PUENTE PIDUCO_NR-392</v>
      </c>
      <c r="M312" s="32" t="str">
        <f>'Invest. IF'!O312</f>
        <v>Talca</v>
      </c>
      <c r="N312" s="32">
        <f>'Invest. IF'!J312</f>
        <v>257063</v>
      </c>
      <c r="O312" s="32">
        <f>'Invest. IF'!K312</f>
        <v>6076512</v>
      </c>
    </row>
    <row r="313" spans="1:15" x14ac:dyDescent="0.2">
      <c r="A313" s="36">
        <f>'Invest. IF'!A313</f>
        <v>312</v>
      </c>
      <c r="B313" s="21" t="e">
        <f>'Invest. IF'!#REF!</f>
        <v>#REF!</v>
      </c>
      <c r="C313" s="32" t="str">
        <f>'Invest. IF'!B313</f>
        <v>Talca</v>
      </c>
      <c r="D313" s="7">
        <f>'Invest. IF'!C313</f>
        <v>321</v>
      </c>
      <c r="E313" s="32" t="str">
        <f>'Invest. IF'!D313</f>
        <v>Riveras de Lircay</v>
      </c>
      <c r="F313" s="32" t="str">
        <f>'Invest. IF'!E313</f>
        <v>4.3.1</v>
      </c>
      <c r="G313" s="32" t="str">
        <f>'Invest. IF'!F313</f>
        <v>Empleo de fuentes de calor en áreas no habilitadas, como fogatas para cocinar, cocinillas, calefacción, elementos para iluminar u otros.</v>
      </c>
      <c r="H313" s="32" t="str">
        <f>'Invest. IF'!G313</f>
        <v>4.3</v>
      </c>
      <c r="I313" s="32" t="str">
        <f>'Invest. IF'!H313</f>
        <v>Actividades al aire libre (camping, excursiones, caza, pesca, otros)</v>
      </c>
      <c r="J313" s="32" t="str">
        <f>'Invest. IF'!I313</f>
        <v>Negligentes</v>
      </c>
      <c r="K313" s="32" t="str">
        <f>'Invest. IF'!M313</f>
        <v>Mayo</v>
      </c>
      <c r="L313" s="32" t="str">
        <f>'Invest. IF'!N313</f>
        <v>ITA_N-312_R20-RIVERAS DE LIRCAY_NR-321</v>
      </c>
      <c r="M313" s="32" t="str">
        <f>'Invest. IF'!O313</f>
        <v>Talca</v>
      </c>
      <c r="N313" s="32">
        <f>'Invest. IF'!J313</f>
        <v>259805</v>
      </c>
      <c r="O313" s="32">
        <f>'Invest. IF'!K313</f>
        <v>6081156</v>
      </c>
    </row>
    <row r="314" spans="1:15" x14ac:dyDescent="0.2">
      <c r="A314" s="36">
        <f>'Invest. IF'!A314</f>
        <v>313</v>
      </c>
      <c r="B314" s="21" t="e">
        <f>'Invest. IF'!#REF!</f>
        <v>#REF!</v>
      </c>
      <c r="C314" s="32" t="str">
        <f>'Invest. IF'!B314</f>
        <v>Retiro</v>
      </c>
      <c r="D314" s="7">
        <f>'Invest. IF'!C314</f>
        <v>343</v>
      </c>
      <c r="E314" s="32" t="str">
        <f>'Invest. IF'!D314</f>
        <v>Santa Isabel 2</v>
      </c>
      <c r="F314" s="32" t="str">
        <f>'Invest. IF'!E314</f>
        <v>4.9.5</v>
      </c>
      <c r="G314" s="32" t="str">
        <f>'Invest. IF'!F314</f>
        <v>Otras causas eléctricas negligentes no  clasificadas</v>
      </c>
      <c r="H314" s="32" t="str">
        <f>'Invest. IF'!G314</f>
        <v>4.9</v>
      </c>
      <c r="I314" s="32" t="str">
        <f>'Invest. IF'!H314</f>
        <v>Líneas eléctricas</v>
      </c>
      <c r="J314" s="32" t="str">
        <f>'Invest. IF'!I314</f>
        <v>Negligentes</v>
      </c>
      <c r="K314" s="32" t="str">
        <f>'Invest. IF'!M314</f>
        <v>Mayo</v>
      </c>
      <c r="L314" s="32" t="str">
        <f>'Invest. IF'!N314</f>
        <v>ITA_N-313_R20-SANTA ISABEL 2_NR-343</v>
      </c>
      <c r="M314" s="32" t="str">
        <f>'Invest. IF'!O314</f>
        <v>Linares</v>
      </c>
      <c r="N314" s="32">
        <f>'Invest. IF'!J314</f>
        <v>249931</v>
      </c>
      <c r="O314" s="32">
        <f>'Invest. IF'!K314</f>
        <v>5998970</v>
      </c>
    </row>
    <row r="315" spans="1:15" x14ac:dyDescent="0.2">
      <c r="A315" s="36">
        <f>'Invest. IF'!A315</f>
        <v>314</v>
      </c>
      <c r="B315" s="21" t="e">
        <f>'Invest. IF'!#REF!</f>
        <v>#REF!</v>
      </c>
      <c r="C315" s="32" t="str">
        <f>'Invest. IF'!B315</f>
        <v>Retiro</v>
      </c>
      <c r="D315" s="7">
        <f>'Invest. IF'!C315</f>
        <v>642</v>
      </c>
      <c r="E315" s="32" t="str">
        <f>'Invest. IF'!D315</f>
        <v>La Unión 2</v>
      </c>
      <c r="F315" s="32" t="str">
        <f>'Invest. IF'!E315</f>
        <v>4.8.2</v>
      </c>
      <c r="G315" s="32" t="str">
        <f>'Invest. IF'!F315</f>
        <v>Quema de basura residencial o desechos vegetales</v>
      </c>
      <c r="H315" s="32" t="str">
        <f>'Invest. IF'!G315</f>
        <v>4.8</v>
      </c>
      <c r="I315" s="32" t="str">
        <f>'Invest. IF'!H315</f>
        <v>Otras quemas</v>
      </c>
      <c r="J315" s="32" t="str">
        <f>'Invest. IF'!I315</f>
        <v>Negligentes</v>
      </c>
      <c r="K315" s="32" t="str">
        <f>'Invest. IF'!M315</f>
        <v>Mayo</v>
      </c>
      <c r="L315" s="32" t="str">
        <f>'Invest. IF'!N315</f>
        <v>ITA_N-314_R20-LA UNIÓN 2_NR-642</v>
      </c>
      <c r="M315" s="32" t="str">
        <f>'Invest. IF'!O315</f>
        <v>Linares</v>
      </c>
      <c r="N315" s="32">
        <f>'Invest. IF'!J315</f>
        <v>253391</v>
      </c>
      <c r="O315" s="32">
        <f>'Invest. IF'!K315</f>
        <v>5997773</v>
      </c>
    </row>
    <row r="316" spans="1:15" x14ac:dyDescent="0.2">
      <c r="A316" s="36">
        <f>'Invest. IF'!A316</f>
        <v>315</v>
      </c>
      <c r="B316" s="21" t="e">
        <f>'Invest. IF'!#REF!</f>
        <v>#REF!</v>
      </c>
      <c r="C316" s="32" t="str">
        <f>'Invest. IF'!B316</f>
        <v>Parral</v>
      </c>
      <c r="D316" s="7">
        <f>'Invest. IF'!C316</f>
        <v>202</v>
      </c>
      <c r="E316" s="32" t="str">
        <f>'Invest. IF'!D316</f>
        <v>Las Pataguas</v>
      </c>
      <c r="F316" s="32" t="str">
        <f>'Invest. IF'!E316</f>
        <v>4.8.2</v>
      </c>
      <c r="G316" s="32" t="str">
        <f>'Invest. IF'!F316</f>
        <v>Quema de basura residencial o desechos vegetales</v>
      </c>
      <c r="H316" s="32" t="str">
        <f>'Invest. IF'!G316</f>
        <v>4.8</v>
      </c>
      <c r="I316" s="32" t="str">
        <f>'Invest. IF'!H316</f>
        <v>Otras quemas</v>
      </c>
      <c r="J316" s="32" t="str">
        <f>'Invest. IF'!I316</f>
        <v>Negligentes</v>
      </c>
      <c r="K316" s="32" t="str">
        <f>'Invest. IF'!M316</f>
        <v>Mayo</v>
      </c>
      <c r="L316" s="32" t="str">
        <f>'Invest. IF'!N316</f>
        <v>ITA_N-315_R20-LAS PATAGUAS_NR-202</v>
      </c>
      <c r="M316" s="32" t="str">
        <f>'Invest. IF'!O316</f>
        <v>Linares</v>
      </c>
      <c r="N316" s="32">
        <f>'Invest. IF'!J316</f>
        <v>240299</v>
      </c>
      <c r="O316" s="32">
        <f>'Invest. IF'!K316</f>
        <v>5997253</v>
      </c>
    </row>
    <row r="317" spans="1:15" x14ac:dyDescent="0.2">
      <c r="A317" s="36">
        <f>'Invest. IF'!A317</f>
        <v>316</v>
      </c>
      <c r="B317" s="21" t="e">
        <f>'Invest. IF'!#REF!</f>
        <v>#REF!</v>
      </c>
      <c r="C317" s="32" t="str">
        <f>'Invest. IF'!B317</f>
        <v>Pencahue</v>
      </c>
      <c r="D317" s="7">
        <f>'Invest. IF'!C317</f>
        <v>211</v>
      </c>
      <c r="E317" s="32" t="str">
        <f>'Invest. IF'!D317</f>
        <v>Toconey</v>
      </c>
      <c r="F317" s="32" t="str">
        <f>'Invest. IF'!E317</f>
        <v>4.11.3</v>
      </c>
      <c r="G317" s="32" t="str">
        <f>'Invest. IF'!F317</f>
        <v>Empleo de fuentes de calor en faena de extracción y/o confección de leña no industrial</v>
      </c>
      <c r="H317" s="32" t="str">
        <f>'Invest. IF'!G317</f>
        <v>4.11</v>
      </c>
      <c r="I317" s="32" t="str">
        <f>'Invest. IF'!H317</f>
        <v>Producción y/o extracción de productos y/o derivados del bosque</v>
      </c>
      <c r="J317" s="32" t="str">
        <f>'Invest. IF'!I317</f>
        <v>Negligentes</v>
      </c>
      <c r="K317" s="32" t="str">
        <f>'Invest. IF'!M317</f>
        <v>Mayo</v>
      </c>
      <c r="L317" s="32" t="str">
        <f>'Invest. IF'!N317</f>
        <v>ITA_N-316_R20-TOCONEY_NR-211</v>
      </c>
      <c r="M317" s="32" t="str">
        <f>'Invest. IF'!O317</f>
        <v>Talca</v>
      </c>
      <c r="N317" s="32">
        <f>'Invest. IF'!J317</f>
        <v>765928</v>
      </c>
      <c r="O317" s="32">
        <f>'Invest. IF'!K317</f>
        <v>6077570</v>
      </c>
    </row>
    <row r="318" spans="1:15" x14ac:dyDescent="0.2">
      <c r="A318" s="36">
        <f>'Invest. IF'!A318</f>
        <v>317</v>
      </c>
      <c r="B318" s="21" t="e">
        <f>'Invest. IF'!#REF!</f>
        <v>#REF!</v>
      </c>
      <c r="C318" s="32" t="str">
        <f>'Invest. IF'!B318</f>
        <v>Pencahue</v>
      </c>
      <c r="D318" s="7">
        <f>'Invest. IF'!C318</f>
        <v>271</v>
      </c>
      <c r="E318" s="32" t="str">
        <f>'Invest. IF'!D318</f>
        <v>Matancilla</v>
      </c>
      <c r="F318" s="32" t="str">
        <f>'Invest. IF'!E318</f>
        <v>4.9.2</v>
      </c>
      <c r="G318" s="32" t="str">
        <f>'Invest. IF'!F318</f>
        <v>Corte de conductor eléctrico por caída de rama o árbol (excepto por faena forestal o agrícola)</v>
      </c>
      <c r="H318" s="32" t="str">
        <f>'Invest. IF'!G318</f>
        <v>4.9</v>
      </c>
      <c r="I318" s="32" t="str">
        <f>'Invest. IF'!H318</f>
        <v>Líneas eléctricas</v>
      </c>
      <c r="J318" s="32" t="str">
        <f>'Invest. IF'!I318</f>
        <v>Negligentes</v>
      </c>
      <c r="K318" s="32" t="str">
        <f>'Invest. IF'!M318</f>
        <v>Mayo</v>
      </c>
      <c r="L318" s="32" t="str">
        <f>'Invest. IF'!N318</f>
        <v>ITA_N-317_R20-MATANCILLA_NR-271</v>
      </c>
      <c r="M318" s="32" t="str">
        <f>'Invest. IF'!O318</f>
        <v>Talca</v>
      </c>
      <c r="N318" s="32">
        <f>'Invest. IF'!J318</f>
        <v>242521</v>
      </c>
      <c r="O318" s="32">
        <f>'Invest. IF'!K318</f>
        <v>6084342</v>
      </c>
    </row>
    <row r="319" spans="1:15" x14ac:dyDescent="0.2">
      <c r="A319" s="36">
        <f>'Invest. IF'!A319</f>
        <v>318</v>
      </c>
      <c r="B319" s="21" t="e">
        <f>'Invest. IF'!#REF!</f>
        <v>#REF!</v>
      </c>
      <c r="C319" s="32" t="str">
        <f>'Invest. IF'!B319</f>
        <v>Molina</v>
      </c>
      <c r="D319" s="7">
        <f>'Invest. IF'!C319</f>
        <v>513</v>
      </c>
      <c r="E319" s="32" t="str">
        <f>'Invest. IF'!D319</f>
        <v>Itahue sur</v>
      </c>
      <c r="F319" s="32" t="str">
        <f>'Invest. IF'!E319</f>
        <v>4.8.2</v>
      </c>
      <c r="G319" s="32" t="str">
        <f>'Invest. IF'!F319</f>
        <v>Quema de basura residencial o desechos vegetales</v>
      </c>
      <c r="H319" s="32" t="str">
        <f>'Invest. IF'!G319</f>
        <v>4.8</v>
      </c>
      <c r="I319" s="32" t="str">
        <f>'Invest. IF'!H319</f>
        <v>Otras quemas</v>
      </c>
      <c r="J319" s="32" t="str">
        <f>'Invest. IF'!I319</f>
        <v>Negligentes</v>
      </c>
      <c r="K319" s="32" t="str">
        <f>'Invest. IF'!M319</f>
        <v>Mayo</v>
      </c>
      <c r="L319" s="32" t="str">
        <f>'Invest. IF'!N319</f>
        <v>ITA_N-318_R20-ITAHUE SUR_NR-513</v>
      </c>
      <c r="M319" s="32" t="str">
        <f>'Invest. IF'!O319</f>
        <v>Curicó</v>
      </c>
      <c r="N319" s="32">
        <f>'Invest. IF'!J319</f>
        <v>282458</v>
      </c>
      <c r="O319" s="32">
        <f>'Invest. IF'!K319</f>
        <v>6104493</v>
      </c>
    </row>
    <row r="320" spans="1:15" x14ac:dyDescent="0.2">
      <c r="A320" s="36">
        <f>'Invest. IF'!A320</f>
        <v>319</v>
      </c>
      <c r="B320" s="21" t="e">
        <f>'Invest. IF'!#REF!</f>
        <v>#REF!</v>
      </c>
      <c r="C320" s="32" t="str">
        <f>'Invest. IF'!B320</f>
        <v>Río Claro</v>
      </c>
      <c r="D320" s="7">
        <f>'Invest. IF'!C320</f>
        <v>358</v>
      </c>
      <c r="E320" s="32" t="str">
        <f>'Invest. IF'!D320</f>
        <v>San Camilo 2</v>
      </c>
      <c r="F320" s="32" t="str">
        <f>'Invest. IF'!E320</f>
        <v>2.1.1</v>
      </c>
      <c r="G320" s="32" t="str">
        <f>'Invest. IF'!F320</f>
        <v>Provocado, no se identifica la motivación</v>
      </c>
      <c r="H320" s="32" t="str">
        <f>'Invest. IF'!G320</f>
        <v>2.1</v>
      </c>
      <c r="I320" s="32" t="str">
        <f>'Invest. IF'!H320</f>
        <v>Incendios intencionales</v>
      </c>
      <c r="J320" s="32" t="str">
        <f>'Invest. IF'!I320</f>
        <v>Intencionales</v>
      </c>
      <c r="K320" s="32" t="str">
        <f>'Invest. IF'!M320</f>
        <v>Mayo</v>
      </c>
      <c r="L320" s="32" t="str">
        <f>'Invest. IF'!N320</f>
        <v>ITA_N-319_R20-SAN CAMILO 2_NR-358</v>
      </c>
      <c r="M320" s="32" t="str">
        <f>'Invest. IF'!O320</f>
        <v>Curicó</v>
      </c>
      <c r="N320" s="32">
        <f>'Invest. IF'!J320</f>
        <v>284542</v>
      </c>
      <c r="O320" s="32">
        <f>'Invest. IF'!K320</f>
        <v>6107860</v>
      </c>
    </row>
    <row r="321" spans="1:15" x14ac:dyDescent="0.2">
      <c r="A321" s="36">
        <f>'Invest. IF'!A321</f>
        <v>320</v>
      </c>
      <c r="B321" s="21" t="e">
        <f>'Invest. IF'!#REF!</f>
        <v>#REF!</v>
      </c>
      <c r="C321" s="32" t="str">
        <f>'Invest. IF'!B321</f>
        <v>Río Claro</v>
      </c>
      <c r="D321" s="7">
        <f>'Invest. IF'!C321</f>
        <v>423</v>
      </c>
      <c r="E321" s="32" t="str">
        <f>'Invest. IF'!D321</f>
        <v>San Camilo 3</v>
      </c>
      <c r="F321" s="32" t="str">
        <f>'Invest. IF'!E321</f>
        <v>2.1.1</v>
      </c>
      <c r="G321" s="32" t="str">
        <f>'Invest. IF'!F321</f>
        <v>Provocado, no se identifica la motivación</v>
      </c>
      <c r="H321" s="32" t="str">
        <f>'Invest. IF'!G321</f>
        <v>2.1</v>
      </c>
      <c r="I321" s="32" t="str">
        <f>'Invest. IF'!H321</f>
        <v>Incendios intencionales</v>
      </c>
      <c r="J321" s="32" t="str">
        <f>'Invest. IF'!I321</f>
        <v>Intencionales</v>
      </c>
      <c r="K321" s="32" t="str">
        <f>'Invest. IF'!M321</f>
        <v>Mayo</v>
      </c>
      <c r="L321" s="32" t="str">
        <f>'Invest. IF'!N321</f>
        <v>ITA_N-320_R20-SAN CAMILO 3_NR-423</v>
      </c>
      <c r="M321" s="32" t="str">
        <f>'Invest. IF'!O321</f>
        <v>Curicó</v>
      </c>
      <c r="N321" s="32">
        <f>'Invest. IF'!J321</f>
        <v>284334</v>
      </c>
      <c r="O321" s="32">
        <f>'Invest. IF'!K321</f>
        <v>6107738</v>
      </c>
    </row>
    <row r="322" spans="1:15" x14ac:dyDescent="0.2">
      <c r="A322" s="36">
        <f>'Invest. IF'!A322</f>
        <v>321</v>
      </c>
      <c r="B322" s="21" t="e">
        <f>'Invest. IF'!#REF!</f>
        <v>#REF!</v>
      </c>
      <c r="C322" s="32" t="str">
        <f>'Invest. IF'!B322</f>
        <v>Retiro</v>
      </c>
      <c r="D322" s="7">
        <f>'Invest. IF'!C322</f>
        <v>59</v>
      </c>
      <c r="E322" s="32" t="str">
        <f>'Invest. IF'!D322</f>
        <v>Callejón la Diez</v>
      </c>
      <c r="F322" s="32" t="str">
        <f>'Invest. IF'!E322</f>
        <v>4.2.8</v>
      </c>
      <c r="G322" s="32" t="str">
        <f>'Invest. IF'!F322</f>
        <v>Otras causas negligentes no clasificadas en faenas agrícolas y pecuarias</v>
      </c>
      <c r="H322" s="32" t="str">
        <f>'Invest. IF'!G322</f>
        <v>4.2</v>
      </c>
      <c r="I322" s="32" t="str">
        <f>'Invest. IF'!H322</f>
        <v>Faenas agrícolas y pecuarias</v>
      </c>
      <c r="J322" s="32" t="str">
        <f>'Invest. IF'!I322</f>
        <v>Negligentes</v>
      </c>
      <c r="K322" s="32" t="str">
        <f>'Invest. IF'!M322</f>
        <v>Mayo</v>
      </c>
      <c r="L322" s="32" t="str">
        <f>'Invest. IF'!N322</f>
        <v>ITA_N-321_R20-CALLEJON LA DIEZ_NR-59</v>
      </c>
      <c r="M322" s="32" t="str">
        <f>'Invest. IF'!O322</f>
        <v>Linares</v>
      </c>
      <c r="N322" s="32">
        <f>'Invest. IF'!J322</f>
        <v>254996</v>
      </c>
      <c r="O322" s="32">
        <f>'Invest. IF'!K322</f>
        <v>5999690</v>
      </c>
    </row>
    <row r="323" spans="1:15" x14ac:dyDescent="0.2">
      <c r="A323" s="36">
        <f>'Invest. IF'!A323</f>
        <v>322</v>
      </c>
      <c r="B323" s="21" t="e">
        <f>'Invest. IF'!#REF!</f>
        <v>#REF!</v>
      </c>
      <c r="C323" s="32" t="str">
        <f>'Invest. IF'!B323</f>
        <v>Parral</v>
      </c>
      <c r="D323" s="7">
        <f>'Invest. IF'!C323</f>
        <v>445</v>
      </c>
      <c r="E323" s="32" t="str">
        <f>'Invest. IF'!D323</f>
        <v>La Selva</v>
      </c>
      <c r="F323" s="32" t="str">
        <f>'Invest. IF'!E323</f>
        <v>4.10.4</v>
      </c>
      <c r="G323" s="32" t="str">
        <f>'Invest. IF'!F323</f>
        <v>Acciones asociadas a fumar</v>
      </c>
      <c r="H323" s="32" t="str">
        <f>'Invest. IF'!G323</f>
        <v>4.10</v>
      </c>
      <c r="I323" s="32" t="str">
        <f>'Invest. IF'!H323</f>
        <v>Otras causas</v>
      </c>
      <c r="J323" s="32" t="str">
        <f>'Invest. IF'!I323</f>
        <v>Negligentes</v>
      </c>
      <c r="K323" s="32" t="str">
        <f>'Invest. IF'!M323</f>
        <v>Mayo</v>
      </c>
      <c r="L323" s="32" t="str">
        <f>'Invest. IF'!N323</f>
        <v>ITA_N-322_R20-LA SELVA_NR-445</v>
      </c>
      <c r="M323" s="32" t="str">
        <f>'Invest. IF'!O323</f>
        <v>Linares</v>
      </c>
      <c r="N323" s="32">
        <f>'Invest. IF'!J323</f>
        <v>238606</v>
      </c>
      <c r="O323" s="32">
        <f>'Invest. IF'!K323</f>
        <v>5987987</v>
      </c>
    </row>
    <row r="324" spans="1:15" x14ac:dyDescent="0.2">
      <c r="A324" s="36">
        <f>'Invest. IF'!A324</f>
        <v>323</v>
      </c>
      <c r="B324" s="21" t="e">
        <f>'Invest. IF'!#REF!</f>
        <v>#REF!</v>
      </c>
      <c r="C324" s="32" t="str">
        <f>'Invest. IF'!B324</f>
        <v>Curicó</v>
      </c>
      <c r="D324" s="7">
        <f>'Invest. IF'!C324</f>
        <v>210</v>
      </c>
      <c r="E324" s="32" t="str">
        <f>'Invest. IF'!D324</f>
        <v>Aguas Negras</v>
      </c>
      <c r="F324" s="32" t="str">
        <f>'Invest. IF'!E324</f>
        <v>4.10.11</v>
      </c>
      <c r="G324" s="32" t="str">
        <f>'Invest. IF'!F324</f>
        <v>Empleo de fuentes de calor por personas en situación de calle</v>
      </c>
      <c r="H324" s="32" t="str">
        <f>'Invest. IF'!G324</f>
        <v>4.10</v>
      </c>
      <c r="I324" s="32" t="str">
        <f>'Invest. IF'!H324</f>
        <v>Otras causas</v>
      </c>
      <c r="J324" s="32" t="str">
        <f>'Invest. IF'!I324</f>
        <v>Negligentes</v>
      </c>
      <c r="K324" s="32" t="str">
        <f>'Invest. IF'!M324</f>
        <v>Mayo</v>
      </c>
      <c r="L324" s="32" t="str">
        <f>'Invest. IF'!N324</f>
        <v>ITA_N-323_R20-AGUAS NEGRAS_NR-210</v>
      </c>
      <c r="M324" s="32" t="str">
        <f>'Invest. IF'!O324</f>
        <v>Curicó</v>
      </c>
      <c r="N324" s="32">
        <f>'Invest. IF'!J324</f>
        <v>293349</v>
      </c>
      <c r="O324" s="32">
        <f>'Invest. IF'!K324</f>
        <v>6125310</v>
      </c>
    </row>
    <row r="325" spans="1:15" x14ac:dyDescent="0.2">
      <c r="A325" s="36">
        <f>'Invest. IF'!A325</f>
        <v>324</v>
      </c>
      <c r="B325" s="21" t="e">
        <f>'Invest. IF'!#REF!</f>
        <v>#REF!</v>
      </c>
      <c r="C325" s="32" t="str">
        <f>'Invest. IF'!B325</f>
        <v>Curicó</v>
      </c>
      <c r="D325" s="7">
        <f>'Invest. IF'!C325</f>
        <v>419</v>
      </c>
      <c r="E325" s="32" t="str">
        <f>'Invest. IF'!D325</f>
        <v>Calle Licantén</v>
      </c>
      <c r="F325" s="32" t="str">
        <f>'Invest. IF'!E325</f>
        <v>4.10.5</v>
      </c>
      <c r="G325" s="32" t="str">
        <f>'Invest. IF'!F325</f>
        <v>Empleo de fuentes de calor por menores de edad</v>
      </c>
      <c r="H325" s="32" t="str">
        <f>'Invest. IF'!G325</f>
        <v>4.10</v>
      </c>
      <c r="I325" s="32" t="str">
        <f>'Invest. IF'!H325</f>
        <v>Otras causas</v>
      </c>
      <c r="J325" s="32" t="str">
        <f>'Invest. IF'!I325</f>
        <v>Negligentes</v>
      </c>
      <c r="K325" s="32" t="str">
        <f>'Invest. IF'!M325</f>
        <v>Mayo</v>
      </c>
      <c r="L325" s="32" t="str">
        <f>'Invest. IF'!N325</f>
        <v>ITA_N-324_R20-CALLE LICANTÉN_NR-419</v>
      </c>
      <c r="M325" s="32" t="str">
        <f>'Invest. IF'!O325</f>
        <v>Curicó</v>
      </c>
      <c r="N325" s="32">
        <f>'Invest. IF'!J325</f>
        <v>293212</v>
      </c>
      <c r="O325" s="32">
        <f>'Invest. IF'!K325</f>
        <v>6125302</v>
      </c>
    </row>
    <row r="326" spans="1:15" x14ac:dyDescent="0.2">
      <c r="A326" s="36">
        <f>'Invest. IF'!A326</f>
        <v>325</v>
      </c>
      <c r="B326" s="21" t="e">
        <f>'Invest. IF'!#REF!</f>
        <v>#REF!</v>
      </c>
      <c r="C326" s="32" t="str">
        <f>'Invest. IF'!B326</f>
        <v>Curicó</v>
      </c>
      <c r="D326" s="7">
        <f>'Invest. IF'!C326</f>
        <v>197</v>
      </c>
      <c r="E326" s="32" t="str">
        <f>'Invest. IF'!D326</f>
        <v>Las Acacias</v>
      </c>
      <c r="F326" s="32" t="str">
        <f>'Invest. IF'!E326</f>
        <v>4.8.2</v>
      </c>
      <c r="G326" s="32" t="str">
        <f>'Invest. IF'!F326</f>
        <v>Quema de basura residencial o desechos vegetales</v>
      </c>
      <c r="H326" s="32" t="str">
        <f>'Invest. IF'!G326</f>
        <v>4.8</v>
      </c>
      <c r="I326" s="32" t="str">
        <f>'Invest. IF'!H326</f>
        <v>Otras quemas</v>
      </c>
      <c r="J326" s="32" t="str">
        <f>'Invest. IF'!I326</f>
        <v>Negligentes</v>
      </c>
      <c r="K326" s="32" t="str">
        <f>'Invest. IF'!M326</f>
        <v>Mayo</v>
      </c>
      <c r="L326" s="32" t="str">
        <f>'Invest. IF'!N326</f>
        <v>ITA_N-325_R20-LAS ACACIAS_NR-197</v>
      </c>
      <c r="M326" s="32" t="str">
        <f>'Invest. IF'!O326</f>
        <v>Curicó</v>
      </c>
      <c r="N326" s="32">
        <f>'Invest. IF'!J326</f>
        <v>298478</v>
      </c>
      <c r="O326" s="32">
        <f>'Invest. IF'!K326</f>
        <v>6129205</v>
      </c>
    </row>
    <row r="327" spans="1:15" x14ac:dyDescent="0.2">
      <c r="A327" s="36">
        <f>'Invest. IF'!A327</f>
        <v>326</v>
      </c>
      <c r="B327" s="21" t="e">
        <f>'Invest. IF'!#REF!</f>
        <v>#REF!</v>
      </c>
      <c r="C327" s="32" t="str">
        <f>'Invest. IF'!B327</f>
        <v>Río Claro</v>
      </c>
      <c r="D327" s="7">
        <f>'Invest. IF'!C327</f>
        <v>604</v>
      </c>
      <c r="E327" s="32" t="str">
        <f>'Invest. IF'!D327</f>
        <v>523- Monte oscuro 2 (Particular)</v>
      </c>
      <c r="F327" s="32" t="str">
        <f>'Invest. IF'!E327</f>
        <v>4.8.2</v>
      </c>
      <c r="G327" s="32" t="str">
        <f>'Invest. IF'!F327</f>
        <v>Quema de basura residencial o desechos vegetales</v>
      </c>
      <c r="H327" s="32" t="str">
        <f>'Invest. IF'!G327</f>
        <v>4.8</v>
      </c>
      <c r="I327" s="32" t="str">
        <f>'Invest. IF'!H327</f>
        <v>Otras quemas</v>
      </c>
      <c r="J327" s="32" t="str">
        <f>'Invest. IF'!I327</f>
        <v>Negligentes</v>
      </c>
      <c r="K327" s="32" t="str">
        <f>'Invest. IF'!M327</f>
        <v>Mayo</v>
      </c>
      <c r="L327" s="32" t="str">
        <f>'Invest. IF'!N327</f>
        <v>ITA_N-326_R20-523-MONTE OSCURO 2 (PARTICULAR)_NR-604</v>
      </c>
      <c r="M327" s="32" t="str">
        <f>'Invest. IF'!O327</f>
        <v>Talca</v>
      </c>
      <c r="N327" s="32">
        <f>'Invest. IF'!J327</f>
        <v>300143</v>
      </c>
      <c r="O327" s="32">
        <f>'Invest. IF'!K327</f>
        <v>6098115</v>
      </c>
    </row>
    <row r="328" spans="1:15" x14ac:dyDescent="0.2">
      <c r="A328" s="36">
        <f>'Invest. IF'!A328</f>
        <v>327</v>
      </c>
      <c r="B328" s="21" t="e">
        <f>'Invest. IF'!#REF!</f>
        <v>#REF!</v>
      </c>
      <c r="C328" s="32" t="str">
        <f>'Invest. IF'!B328</f>
        <v>Río Claro</v>
      </c>
      <c r="D328" s="7">
        <f>'Invest. IF'!C328</f>
        <v>479</v>
      </c>
      <c r="E328" s="32" t="str">
        <f>'Invest. IF'!D328</f>
        <v>Monte oscuro</v>
      </c>
      <c r="F328" s="32" t="str">
        <f>'Invest. IF'!E328</f>
        <v>4.8.2</v>
      </c>
      <c r="G328" s="32" t="str">
        <f>'Invest. IF'!F328</f>
        <v>Quema de basura residencial o desechos vegetales</v>
      </c>
      <c r="H328" s="32" t="str">
        <f>'Invest. IF'!G328</f>
        <v>4.8</v>
      </c>
      <c r="I328" s="32" t="str">
        <f>'Invest. IF'!H328</f>
        <v>Otras quemas</v>
      </c>
      <c r="J328" s="32" t="str">
        <f>'Invest. IF'!I328</f>
        <v>Negligentes</v>
      </c>
      <c r="K328" s="32" t="str">
        <f>'Invest. IF'!M328</f>
        <v>Mayo</v>
      </c>
      <c r="L328" s="32" t="str">
        <f>'Invest. IF'!N328</f>
        <v>ITA_N-327_R20-523-MONTE OSCURO_NR-479</v>
      </c>
      <c r="M328" s="32" t="str">
        <f>'Invest. IF'!O328</f>
        <v>Talca</v>
      </c>
      <c r="N328" s="32">
        <f>'Invest. IF'!J328</f>
        <v>298482</v>
      </c>
      <c r="O328" s="32">
        <f>'Invest. IF'!K328</f>
        <v>6097704</v>
      </c>
    </row>
    <row r="329" spans="1:15" x14ac:dyDescent="0.2">
      <c r="A329" s="36">
        <f>'Invest. IF'!A329</f>
        <v>328</v>
      </c>
      <c r="B329" s="21" t="e">
        <f>'Invest. IF'!#REF!</f>
        <v>#REF!</v>
      </c>
      <c r="C329" s="32" t="str">
        <f>'Invest. IF'!B329</f>
        <v>Río Claro</v>
      </c>
      <c r="D329" s="7">
        <f>'Invest. IF'!C329</f>
        <v>389</v>
      </c>
      <c r="E329" s="32" t="str">
        <f>'Invest. IF'!D329</f>
        <v>Santa Lucia -2</v>
      </c>
      <c r="F329" s="32" t="str">
        <f>'Invest. IF'!E329</f>
        <v>4.8.2</v>
      </c>
      <c r="G329" s="32" t="str">
        <f>'Invest. IF'!F329</f>
        <v>Quema de basura residencial o desechos vegetales</v>
      </c>
      <c r="H329" s="32" t="str">
        <f>'Invest. IF'!G329</f>
        <v>4.8</v>
      </c>
      <c r="I329" s="32" t="str">
        <f>'Invest. IF'!H329</f>
        <v>Otras quemas</v>
      </c>
      <c r="J329" s="32" t="str">
        <f>'Invest. IF'!I329</f>
        <v>Negligentes</v>
      </c>
      <c r="K329" s="32" t="str">
        <f>'Invest. IF'!M329</f>
        <v>Mayo</v>
      </c>
      <c r="L329" s="32" t="str">
        <f>'Invest. IF'!N329</f>
        <v>ITA_N-328_R20-523-SANTA LUCIA-2_NR-389</v>
      </c>
      <c r="M329" s="32" t="str">
        <f>'Invest. IF'!O329</f>
        <v>Talca</v>
      </c>
      <c r="N329" s="32">
        <f>'Invest. IF'!J329</f>
        <v>294068</v>
      </c>
      <c r="O329" s="32">
        <f>'Invest. IF'!K329</f>
        <v>6093974</v>
      </c>
    </row>
    <row r="330" spans="1:15" x14ac:dyDescent="0.2">
      <c r="A330" s="36">
        <f>'Invest. IF'!A330</f>
        <v>329</v>
      </c>
      <c r="B330" s="21" t="e">
        <f>'Invest. IF'!#REF!</f>
        <v>#REF!</v>
      </c>
      <c r="C330" s="32" t="str">
        <f>'Invest. IF'!B330</f>
        <v>Río Claro</v>
      </c>
      <c r="D330" s="7">
        <f>'Invest. IF'!C330</f>
        <v>302</v>
      </c>
      <c r="E330" s="32" t="str">
        <f>'Invest. IF'!D330</f>
        <v>Cerro Santa Lucia</v>
      </c>
      <c r="F330" s="32" t="str">
        <f>'Invest. IF'!E330</f>
        <v>4.3.1</v>
      </c>
      <c r="G330" s="32" t="str">
        <f>'Invest. IF'!F330</f>
        <v>Empleo de fuentes de calor en áreas no habilitadas, como fogatas para cocinar, cocinillas, calefacción, elementos para iluminar u otros.</v>
      </c>
      <c r="H330" s="32" t="str">
        <f>'Invest. IF'!G330</f>
        <v>4.3</v>
      </c>
      <c r="I330" s="32" t="str">
        <f>'Invest. IF'!H330</f>
        <v>Actividades al aire libre (camping, excursiones, caza, pesca, otros)</v>
      </c>
      <c r="J330" s="32" t="str">
        <f>'Invest. IF'!I330</f>
        <v>Negligentes</v>
      </c>
      <c r="K330" s="32" t="str">
        <f>'Invest. IF'!M330</f>
        <v>Mayo</v>
      </c>
      <c r="L330" s="32" t="str">
        <f>'Invest. IF'!N330</f>
        <v>ITA_N-329_R20-523-CERRO SANTA LUCIA_NR-302</v>
      </c>
      <c r="M330" s="32" t="str">
        <f>'Invest. IF'!O330</f>
        <v>Talca</v>
      </c>
      <c r="N330" s="32">
        <f>'Invest. IF'!J330</f>
        <v>294239</v>
      </c>
      <c r="O330" s="32">
        <f>'Invest. IF'!K330</f>
        <v>6093974</v>
      </c>
    </row>
    <row r="331" spans="1:15" x14ac:dyDescent="0.2">
      <c r="A331" s="36">
        <f>'Invest. IF'!A331</f>
        <v>330</v>
      </c>
      <c r="B331" s="21" t="e">
        <f>'Invest. IF'!#REF!</f>
        <v>#REF!</v>
      </c>
      <c r="C331" s="32" t="str">
        <f>'Invest. IF'!B331</f>
        <v>Parral</v>
      </c>
      <c r="D331" s="7">
        <f>'Invest. IF'!C331</f>
        <v>654</v>
      </c>
      <c r="E331" s="32" t="str">
        <f>'Invest. IF'!D331</f>
        <v>Campamento en Catillo (particular)</v>
      </c>
      <c r="F331" s="32" t="str">
        <f>'Invest. IF'!E331</f>
        <v>4.1.1</v>
      </c>
      <c r="G331" s="32" t="str">
        <f>'Invest. IF'!F331</f>
        <v>Quema no avisada de desechos forestales que se propaga libre y sin control</v>
      </c>
      <c r="H331" s="32" t="str">
        <f>'Invest. IF'!G331</f>
        <v>4.1</v>
      </c>
      <c r="I331" s="32" t="str">
        <f>'Invest. IF'!H331</f>
        <v>Faenas forestales</v>
      </c>
      <c r="J331" s="32" t="str">
        <f>'Invest. IF'!I331</f>
        <v>Negligentes</v>
      </c>
      <c r="K331" s="32" t="str">
        <f>'Invest. IF'!M331</f>
        <v>Mayo</v>
      </c>
      <c r="L331" s="32" t="str">
        <f>'Invest. IF'!N331</f>
        <v>ITA_N-330_R20-523-CAMPAMENTO EN CATILLO (PARTICULAR)_NR-654</v>
      </c>
      <c r="M331" s="32" t="str">
        <f>'Invest. IF'!O331</f>
        <v>Linares</v>
      </c>
      <c r="N331" s="32">
        <f>'Invest. IF'!J331</f>
        <v>261086</v>
      </c>
      <c r="O331" s="32">
        <f>'Invest. IF'!K331</f>
        <v>5981181</v>
      </c>
    </row>
    <row r="332" spans="1:15" x14ac:dyDescent="0.2">
      <c r="A332" s="36">
        <f>'Invest. IF'!A332</f>
        <v>331</v>
      </c>
      <c r="B332" s="21" t="e">
        <f>'Invest. IF'!#REF!</f>
        <v>#REF!</v>
      </c>
      <c r="C332" s="32" t="str">
        <f>'Invest. IF'!B332</f>
        <v>Parral</v>
      </c>
      <c r="D332" s="7">
        <f>'Invest. IF'!C332</f>
        <v>341</v>
      </c>
      <c r="E332" s="32" t="str">
        <f>'Invest. IF'!D332</f>
        <v>Bajo Las Torres</v>
      </c>
      <c r="F332" s="32" t="str">
        <f>'Invest. IF'!E332</f>
        <v>4.9.4</v>
      </c>
      <c r="G332" s="32" t="str">
        <f>'Invest. IF'!F332</f>
        <v>Sobrecalentamiento de estructuras asociados al sistema eléctrico (poste, transformador, uniones, aisladores, otros)</v>
      </c>
      <c r="H332" s="32" t="str">
        <f>'Invest. IF'!G332</f>
        <v>4.9</v>
      </c>
      <c r="I332" s="32" t="str">
        <f>'Invest. IF'!H332</f>
        <v>Líneas eléctricas</v>
      </c>
      <c r="J332" s="32" t="str">
        <f>'Invest. IF'!I332</f>
        <v>Negligentes</v>
      </c>
      <c r="K332" s="32" t="str">
        <f>'Invest. IF'!M332</f>
        <v>Mayo</v>
      </c>
      <c r="L332" s="32" t="str">
        <f>'Invest. IF'!N332</f>
        <v>ITA_N-331_R20-523-BAJO LAS TORRES_NR-341</v>
      </c>
      <c r="M332" s="32" t="str">
        <f>'Invest. IF'!O332</f>
        <v>Linares</v>
      </c>
      <c r="N332" s="32">
        <f>'Invest. IF'!J332</f>
        <v>261648</v>
      </c>
      <c r="O332" s="32">
        <f>'Invest. IF'!K332</f>
        <v>5979086</v>
      </c>
    </row>
    <row r="333" spans="1:15" x14ac:dyDescent="0.2">
      <c r="A333" s="36">
        <f>'Invest. IF'!A333</f>
        <v>332</v>
      </c>
      <c r="B333" s="21" t="e">
        <f>'Invest. IF'!#REF!</f>
        <v>#REF!</v>
      </c>
      <c r="C333" s="32" t="str">
        <f>'Invest. IF'!B333</f>
        <v>Parral</v>
      </c>
      <c r="D333" s="7">
        <f>'Invest. IF'!C333</f>
        <v>582</v>
      </c>
      <c r="E333" s="32" t="str">
        <f>'Invest. IF'!D333</f>
        <v>Los Pinares de Catillo</v>
      </c>
      <c r="F333" s="32" t="str">
        <f>'Invest. IF'!E333</f>
        <v>4.6.1</v>
      </c>
      <c r="G333" s="32" t="str">
        <f>'Invest. IF'!F333</f>
        <v>Generado por el uso de equipos o herramientas con fines de construcción, limpieza o montaje de estructuras</v>
      </c>
      <c r="H333" s="32" t="str">
        <f>'Invest. IF'!G333</f>
        <v>4.6</v>
      </c>
      <c r="I333" s="32" t="str">
        <f>'Invest. IF'!H333</f>
        <v>Parcelaciones, edificaciones residenciales, industriales u otras en zonas rurales o de interfaz</v>
      </c>
      <c r="J333" s="32" t="str">
        <f>'Invest. IF'!I333</f>
        <v>Negligentes</v>
      </c>
      <c r="K333" s="32" t="str">
        <f>'Invest. IF'!M333</f>
        <v>Mayo</v>
      </c>
      <c r="L333" s="32" t="str">
        <f>'Invest. IF'!N333</f>
        <v>ITA_N-332_R20-523-LOS PINARES DE CATILLO_NR-582</v>
      </c>
      <c r="M333" s="32" t="str">
        <f>'Invest. IF'!O333</f>
        <v>Linares</v>
      </c>
      <c r="N333" s="32">
        <f>'Invest. IF'!J333</f>
        <v>258626</v>
      </c>
      <c r="O333" s="32">
        <f>'Invest. IF'!K333</f>
        <v>5979244</v>
      </c>
    </row>
    <row r="334" spans="1:15" x14ac:dyDescent="0.2">
      <c r="A334" s="36">
        <f>'Invest. IF'!A334</f>
        <v>333</v>
      </c>
      <c r="B334" s="21" t="e">
        <f>'Invest. IF'!#REF!</f>
        <v>#REF!</v>
      </c>
      <c r="C334" s="32" t="str">
        <f>'Invest. IF'!B334</f>
        <v>Pencahue</v>
      </c>
      <c r="D334" s="7">
        <f>'Invest. IF'!C334</f>
        <v>503</v>
      </c>
      <c r="E334" s="32" t="str">
        <f>'Invest. IF'!D334</f>
        <v>Los Corrales</v>
      </c>
      <c r="F334" s="32" t="str">
        <f>'Invest. IF'!E334</f>
        <v>4.9.2</v>
      </c>
      <c r="G334" s="32" t="str">
        <f>'Invest. IF'!F334</f>
        <v>Corte de conductor eléctrico por caída de rama o árbol (excepto por faena forestal o agrícola)</v>
      </c>
      <c r="H334" s="32" t="str">
        <f>'Invest. IF'!G334</f>
        <v>4.9</v>
      </c>
      <c r="I334" s="32" t="str">
        <f>'Invest. IF'!H334</f>
        <v>Líneas eléctricas</v>
      </c>
      <c r="J334" s="32" t="str">
        <f>'Invest. IF'!I334</f>
        <v>Negligentes</v>
      </c>
      <c r="K334" s="32" t="str">
        <f>'Invest. IF'!M334</f>
        <v>Mayo</v>
      </c>
      <c r="L334" s="32" t="str">
        <f>'Invest. IF'!N334</f>
        <v>ITA_N-333_R20-523-LOS CORRALES_NR-503</v>
      </c>
      <c r="M334" s="32" t="str">
        <f>'Invest. IF'!O334</f>
        <v>Talca</v>
      </c>
      <c r="N334" s="32">
        <f>'Invest. IF'!J334</f>
        <v>254766</v>
      </c>
      <c r="O334" s="32">
        <f>'Invest. IF'!K334</f>
        <v>6080650</v>
      </c>
    </row>
    <row r="335" spans="1:15" x14ac:dyDescent="0.2">
      <c r="A335" s="36">
        <f>'Invest. IF'!A335</f>
        <v>334</v>
      </c>
      <c r="B335" s="21" t="e">
        <f>'Invest. IF'!#REF!</f>
        <v>#REF!</v>
      </c>
      <c r="C335" s="32" t="str">
        <f>'Invest. IF'!B335</f>
        <v>Pencahue</v>
      </c>
      <c r="D335" s="7">
        <f>'Invest. IF'!C335</f>
        <v>182</v>
      </c>
      <c r="E335" s="32" t="str">
        <f>'Invest. IF'!D335</f>
        <v>Lo Figueroa 2</v>
      </c>
      <c r="F335" s="32" t="str">
        <f>'Invest. IF'!E335</f>
        <v>4.6.1</v>
      </c>
      <c r="G335" s="32" t="str">
        <f>'Invest. IF'!F335</f>
        <v>Generado por el uso de equipos o herramientas con fines de construcción, limpieza o montaje de estructuras</v>
      </c>
      <c r="H335" s="32" t="str">
        <f>'Invest. IF'!G335</f>
        <v>4.6</v>
      </c>
      <c r="I335" s="32" t="str">
        <f>'Invest. IF'!H335</f>
        <v>Parcelaciones, edificaciones residenciales, industriales u otras en zonas rurales o de interfaz</v>
      </c>
      <c r="J335" s="32" t="str">
        <f>'Invest. IF'!I335</f>
        <v>Negligentes</v>
      </c>
      <c r="K335" s="32" t="str">
        <f>'Invest. IF'!M335</f>
        <v>Mayo</v>
      </c>
      <c r="L335" s="32" t="str">
        <f>'Invest. IF'!N335</f>
        <v>ITA_N-334_R20-523-LO FIGUEROA 2_NR-182</v>
      </c>
      <c r="M335" s="32" t="str">
        <f>'Invest. IF'!O335</f>
        <v>Talca</v>
      </c>
      <c r="N335" s="32">
        <f>'Invest. IF'!J335</f>
        <v>249607</v>
      </c>
      <c r="O335" s="32">
        <f>'Invest. IF'!K335</f>
        <v>6078714</v>
      </c>
    </row>
    <row r="336" spans="1:15" x14ac:dyDescent="0.2">
      <c r="A336" s="36">
        <f>'Invest. IF'!A336</f>
        <v>335</v>
      </c>
      <c r="B336" s="21" t="e">
        <f>'Invest. IF'!#REF!</f>
        <v>#REF!</v>
      </c>
      <c r="C336" s="32" t="str">
        <f>'Invest. IF'!B336</f>
        <v>Río Claro</v>
      </c>
      <c r="D336" s="7">
        <f>'Invest. IF'!C336</f>
        <v>557</v>
      </c>
      <c r="E336" s="32" t="str">
        <f>'Invest. IF'!D336</f>
        <v>El Álamo</v>
      </c>
      <c r="F336" s="32" t="str">
        <f>'Invest. IF'!E336</f>
        <v>4.11.3</v>
      </c>
      <c r="G336" s="32" t="str">
        <f>'Invest. IF'!F336</f>
        <v>Empleo de fuentes de calor en faena de extracción y/o confección de leña no industrial</v>
      </c>
      <c r="H336" s="32" t="str">
        <f>'Invest. IF'!G336</f>
        <v>4.11</v>
      </c>
      <c r="I336" s="32" t="str">
        <f>'Invest. IF'!H336</f>
        <v>Producción y/o extracción de productos y/o derivados del bosque</v>
      </c>
      <c r="J336" s="32" t="str">
        <f>'Invest. IF'!I336</f>
        <v>Negligentes</v>
      </c>
      <c r="K336" s="32" t="str">
        <f>'Invest. IF'!M336</f>
        <v>Mayo</v>
      </c>
      <c r="L336" s="32" t="str">
        <f>'Invest. IF'!N336</f>
        <v>ITA_N-335_R20-523-EL ÁLAMO_NR-557</v>
      </c>
      <c r="M336" s="32" t="str">
        <f>'Invest. IF'!O336</f>
        <v>Talca</v>
      </c>
      <c r="N336" s="32">
        <f>'Invest. IF'!J336</f>
        <v>283769</v>
      </c>
      <c r="O336" s="32">
        <f>'Invest. IF'!K336</f>
        <v>6095877</v>
      </c>
    </row>
    <row r="337" spans="1:15" x14ac:dyDescent="0.2">
      <c r="A337" s="36">
        <f>'Invest. IF'!A337</f>
        <v>336</v>
      </c>
      <c r="B337" s="21" t="e">
        <f>'Invest. IF'!#REF!</f>
        <v>#REF!</v>
      </c>
      <c r="C337" s="32" t="str">
        <f>'Invest. IF'!B337</f>
        <v>Río Claro</v>
      </c>
      <c r="D337" s="7">
        <f>'Invest. IF'!C337</f>
        <v>511</v>
      </c>
      <c r="E337" s="32" t="str">
        <f>'Invest. IF'!D337</f>
        <v>Santa Lucia 3</v>
      </c>
      <c r="F337" s="32" t="str">
        <f>'Invest. IF'!E337</f>
        <v>4.8.1</v>
      </c>
      <c r="G337" s="32" t="str">
        <f>'Invest. IF'!F337</f>
        <v>Quema no avisada con fines de limpieza en canales, cunetas, cercos o caminos (en predios particulares o públicos) que se propaga libre y sin control</v>
      </c>
      <c r="H337" s="32" t="str">
        <f>'Invest. IF'!G337</f>
        <v>4.8</v>
      </c>
      <c r="I337" s="32" t="str">
        <f>'Invest. IF'!H337</f>
        <v>Otras quemas</v>
      </c>
      <c r="J337" s="32" t="str">
        <f>'Invest. IF'!I337</f>
        <v>Negligentes</v>
      </c>
      <c r="K337" s="32" t="str">
        <f>'Invest. IF'!M337</f>
        <v>Mayo</v>
      </c>
      <c r="L337" s="32" t="str">
        <f>'Invest. IF'!N337</f>
        <v>ITA_N-336_R20-523-SANTA LUCIA 3_NR-511</v>
      </c>
      <c r="M337" s="32" t="str">
        <f>'Invest. IF'!O337</f>
        <v>Talca</v>
      </c>
      <c r="N337" s="32">
        <f>'Invest. IF'!J337</f>
        <v>290915</v>
      </c>
      <c r="O337" s="32">
        <f>'Invest. IF'!K337</f>
        <v>6093907</v>
      </c>
    </row>
    <row r="338" spans="1:15" x14ac:dyDescent="0.2">
      <c r="A338" s="36">
        <f>'Invest. IF'!A338</f>
        <v>337</v>
      </c>
      <c r="B338" s="21" t="e">
        <f>'Invest. IF'!#REF!</f>
        <v>#REF!</v>
      </c>
      <c r="C338" s="32" t="str">
        <f>'Invest. IF'!B338</f>
        <v>Pelarco</v>
      </c>
      <c r="D338" s="7">
        <f>'Invest. IF'!C338</f>
        <v>516</v>
      </c>
      <c r="E338" s="32" t="str">
        <f>'Invest. IF'!D338</f>
        <v xml:space="preserve">Lihueno sur </v>
      </c>
      <c r="F338" s="32" t="str">
        <f>'Invest. IF'!E338</f>
        <v>1.7.1</v>
      </c>
      <c r="G338" s="32" t="str">
        <f>'Invest. IF'!F338</f>
        <v>Accidente o incendio de vehículo</v>
      </c>
      <c r="H338" s="32" t="str">
        <f>'Invest. IF'!G338</f>
        <v>1.7</v>
      </c>
      <c r="I338" s="32" t="str">
        <f>'Invest. IF'!H338</f>
        <v>Originados por desplazamiento de personas, vehículos o aeronaves</v>
      </c>
      <c r="J338" s="32" t="str">
        <f>'Invest. IF'!I338</f>
        <v>Accidentales</v>
      </c>
      <c r="K338" s="32" t="str">
        <f>'Invest. IF'!M338</f>
        <v>Mayo</v>
      </c>
      <c r="L338" s="32" t="str">
        <f>'Invest. IF'!N338</f>
        <v>ITA_N-337_R20-523-LIHUENO SUR_NR-516</v>
      </c>
      <c r="M338" s="32" t="str">
        <f>'Invest. IF'!O338</f>
        <v>Talca</v>
      </c>
      <c r="N338" s="32">
        <f>'Invest. IF'!J338</f>
        <v>292233</v>
      </c>
      <c r="O338" s="32">
        <f>'Invest. IF'!K338</f>
        <v>6077032</v>
      </c>
    </row>
    <row r="339" spans="1:15" x14ac:dyDescent="0.2">
      <c r="A339" s="36">
        <f>'Invest. IF'!A339</f>
        <v>338</v>
      </c>
      <c r="B339" s="21" t="e">
        <f>'Invest. IF'!#REF!</f>
        <v>#REF!</v>
      </c>
      <c r="C339" s="32" t="str">
        <f>'Invest. IF'!B339</f>
        <v>Teno</v>
      </c>
      <c r="D339" s="7">
        <f>'Invest. IF'!C339</f>
        <v>159</v>
      </c>
      <c r="E339" s="32" t="str">
        <f>'Invest. IF'!D339</f>
        <v>Santa Rosa</v>
      </c>
      <c r="F339" s="32" t="str">
        <f>'Invest. IF'!E339</f>
        <v>4.2.1</v>
      </c>
      <c r="G339" s="32" t="str">
        <f>'Invest. IF'!F339</f>
        <v>Quema no avisada de desechos agrícolas que se propaga libre y sin control</v>
      </c>
      <c r="H339" s="32" t="str">
        <f>'Invest. IF'!G339</f>
        <v>4.2</v>
      </c>
      <c r="I339" s="32" t="str">
        <f>'Invest. IF'!H339</f>
        <v>Faenas agrícolas y pecuarias</v>
      </c>
      <c r="J339" s="32" t="str">
        <f>'Invest. IF'!I339</f>
        <v>Negligentes</v>
      </c>
      <c r="K339" s="32" t="str">
        <f>'Invest. IF'!M339</f>
        <v>Mayo</v>
      </c>
      <c r="L339" s="32" t="str">
        <f>'Invest. IF'!N339</f>
        <v>ITA_N-338_R20-SANTA ROSA_NR-159</v>
      </c>
      <c r="M339" s="32" t="str">
        <f>'Invest. IF'!O339</f>
        <v>Curicó</v>
      </c>
      <c r="N339" s="32">
        <f>'Invest. IF'!J339</f>
        <v>306626</v>
      </c>
      <c r="O339" s="32">
        <f>'Invest. IF'!K339</f>
        <v>6140544</v>
      </c>
    </row>
    <row r="340" spans="1:15" x14ac:dyDescent="0.2">
      <c r="A340" s="36">
        <f>'Invest. IF'!A340</f>
        <v>339</v>
      </c>
      <c r="B340" s="21" t="e">
        <f>'Invest. IF'!#REF!</f>
        <v>#REF!</v>
      </c>
      <c r="C340" s="32" t="str">
        <f>'Invest. IF'!B340</f>
        <v>Teno</v>
      </c>
      <c r="D340" s="7">
        <f>'Invest. IF'!C340</f>
        <v>167</v>
      </c>
      <c r="E340" s="32" t="str">
        <f>'Invest. IF'!D340</f>
        <v xml:space="preserve">Monterilla </v>
      </c>
      <c r="F340" s="32" t="str">
        <f>'Invest. IF'!E340</f>
        <v>4.10.11</v>
      </c>
      <c r="G340" s="32" t="str">
        <f>'Invest. IF'!F340</f>
        <v>Empleo de fuentes de calor por personas en situación de calle</v>
      </c>
      <c r="H340" s="32" t="str">
        <f>'Invest. IF'!G340</f>
        <v>4.10</v>
      </c>
      <c r="I340" s="32" t="str">
        <f>'Invest. IF'!H340</f>
        <v>Otras causas</v>
      </c>
      <c r="J340" s="32" t="str">
        <f>'Invest. IF'!I340</f>
        <v>Negligentes</v>
      </c>
      <c r="K340" s="32" t="str">
        <f>'Invest. IF'!M340</f>
        <v>Mayo</v>
      </c>
      <c r="L340" s="32" t="str">
        <f>'Invest. IF'!N340</f>
        <v>ITA_N-339_R20-MONTERILLA_NR-167</v>
      </c>
      <c r="M340" s="32" t="str">
        <f>'Invest. IF'!O340</f>
        <v>Curicó</v>
      </c>
      <c r="N340" s="32">
        <f>'Invest. IF'!J340</f>
        <v>307667</v>
      </c>
      <c r="O340" s="32">
        <f>'Invest. IF'!K340</f>
        <v>6142448</v>
      </c>
    </row>
    <row r="341" spans="1:15" x14ac:dyDescent="0.2">
      <c r="A341" s="36">
        <f>'Invest. IF'!A341</f>
        <v>340</v>
      </c>
      <c r="B341" s="21" t="e">
        <f>'Invest. IF'!#REF!</f>
        <v>#REF!</v>
      </c>
      <c r="C341" s="32" t="str">
        <f>'Invest. IF'!B341</f>
        <v>Teno</v>
      </c>
      <c r="D341" s="7">
        <f>'Invest. IF'!C341</f>
        <v>152</v>
      </c>
      <c r="E341" s="32" t="str">
        <f>'Invest. IF'!D341</f>
        <v>Cruce Quinta</v>
      </c>
      <c r="F341" s="32" t="str">
        <f>'Invest. IF'!E341</f>
        <v>4.8.1</v>
      </c>
      <c r="G341" s="32" t="str">
        <f>'Invest. IF'!F341</f>
        <v>Quema no avisada con fines de limpieza en canales, cunetas, cercos o caminos (en predios particulares o públicos) que se propaga libre y sin control</v>
      </c>
      <c r="H341" s="32" t="str">
        <f>'Invest. IF'!G341</f>
        <v>4.8</v>
      </c>
      <c r="I341" s="32" t="str">
        <f>'Invest. IF'!H341</f>
        <v>Otras quemas</v>
      </c>
      <c r="J341" s="32" t="str">
        <f>'Invest. IF'!I341</f>
        <v>Negligentes</v>
      </c>
      <c r="K341" s="32" t="str">
        <f>'Invest. IF'!M341</f>
        <v>Mayo</v>
      </c>
      <c r="L341" s="32" t="str">
        <f>'Invest. IF'!N341</f>
        <v>ITA_N-340_R20-CRUCE QUINTA_NR-152</v>
      </c>
      <c r="M341" s="32" t="str">
        <f>'Invest. IF'!O341</f>
        <v>Curicó</v>
      </c>
      <c r="N341" s="32">
        <f>'Invest. IF'!J341</f>
        <v>312709</v>
      </c>
      <c r="O341" s="32">
        <f>'Invest. IF'!K341</f>
        <v>6147865</v>
      </c>
    </row>
    <row r="342" spans="1:15" x14ac:dyDescent="0.2">
      <c r="A342" s="36">
        <f>'Invest. IF'!A342</f>
        <v>341</v>
      </c>
      <c r="B342" s="21" t="e">
        <f>'Invest. IF'!#REF!</f>
        <v>#REF!</v>
      </c>
      <c r="C342" s="32" t="str">
        <f>'Invest. IF'!B342</f>
        <v>Teno</v>
      </c>
      <c r="D342" s="7">
        <f>'Invest. IF'!C342</f>
        <v>380</v>
      </c>
      <c r="E342" s="32" t="str">
        <f>'Invest. IF'!D342</f>
        <v>Viluco 5</v>
      </c>
      <c r="F342" s="32" t="str">
        <f>'Invest. IF'!E342</f>
        <v>4.8.1</v>
      </c>
      <c r="G342" s="32" t="str">
        <f>'Invest. IF'!F342</f>
        <v>Quema no avisada con fines de limpieza en canales, cunetas, cercos o caminos (en predios particulares o públicos) que se propaga libre y sin control</v>
      </c>
      <c r="H342" s="32" t="str">
        <f>'Invest. IF'!G342</f>
        <v>4.8</v>
      </c>
      <c r="I342" s="32" t="str">
        <f>'Invest. IF'!H342</f>
        <v>Otras quemas</v>
      </c>
      <c r="J342" s="32" t="str">
        <f>'Invest. IF'!I342</f>
        <v>Negligentes</v>
      </c>
      <c r="K342" s="32" t="str">
        <f>'Invest. IF'!M342</f>
        <v>Mayo</v>
      </c>
      <c r="L342" s="32" t="str">
        <f>'Invest. IF'!N342</f>
        <v>ITA_N-341_R20-VILUCO 5_NR-380</v>
      </c>
      <c r="M342" s="32" t="str">
        <f>'Invest. IF'!O342</f>
        <v>Curicó</v>
      </c>
      <c r="N342" s="32">
        <f>'Invest. IF'!J342</f>
        <v>301209</v>
      </c>
      <c r="O342" s="32">
        <f>'Invest. IF'!K342</f>
        <v>6139306</v>
      </c>
    </row>
    <row r="343" spans="1:15" x14ac:dyDescent="0.2">
      <c r="A343" s="36">
        <f>'Invest. IF'!A343</f>
        <v>342</v>
      </c>
      <c r="B343" s="21" t="e">
        <f>'Invest. IF'!#REF!</f>
        <v>#REF!</v>
      </c>
      <c r="C343" s="32" t="str">
        <f>'Invest. IF'!B343</f>
        <v>Longaví</v>
      </c>
      <c r="D343" s="7">
        <f>'Invest. IF'!C343</f>
        <v>629</v>
      </c>
      <c r="E343" s="32" t="str">
        <f>'Invest. IF'!D343</f>
        <v>La Aguada</v>
      </c>
      <c r="F343" s="32" t="str">
        <f>'Invest. IF'!E343</f>
        <v>4.2.1</v>
      </c>
      <c r="G343" s="32" t="str">
        <f>'Invest. IF'!F343</f>
        <v>Quema no avisada de desechos agrícolas que se propaga libre y sin control</v>
      </c>
      <c r="H343" s="32" t="str">
        <f>'Invest. IF'!G343</f>
        <v>4.2</v>
      </c>
      <c r="I343" s="32" t="str">
        <f>'Invest. IF'!H343</f>
        <v>Faenas agrícolas y pecuarias</v>
      </c>
      <c r="J343" s="32" t="str">
        <f>'Invest. IF'!I343</f>
        <v>Negligentes</v>
      </c>
      <c r="K343" s="32" t="str">
        <f>'Invest. IF'!M343</f>
        <v>Mayo</v>
      </c>
      <c r="L343" s="32" t="str">
        <f>'Invest. IF'!N343</f>
        <v>ITA_N-342_R20-LA AGUADA_NR-629</v>
      </c>
      <c r="M343" s="32" t="str">
        <f>'Invest. IF'!O343</f>
        <v>Linares</v>
      </c>
      <c r="N343" s="32">
        <f>'Invest. IF'!J343</f>
        <v>255707</v>
      </c>
      <c r="O343" s="32">
        <f>'Invest. IF'!K343</f>
        <v>6025737</v>
      </c>
    </row>
    <row r="344" spans="1:15" x14ac:dyDescent="0.2">
      <c r="A344" s="36">
        <f>'Invest. IF'!A344</f>
        <v>343</v>
      </c>
      <c r="B344" s="21" t="e">
        <f>'Invest. IF'!#REF!</f>
        <v>#REF!</v>
      </c>
      <c r="C344" s="32" t="str">
        <f>'Invest. IF'!B344</f>
        <v>Longaví</v>
      </c>
      <c r="D344" s="7">
        <f>'Invest. IF'!C344</f>
        <v>644</v>
      </c>
      <c r="E344" s="32" t="str">
        <f>'Invest. IF'!D344</f>
        <v>Lomas de Polcura</v>
      </c>
      <c r="F344" s="32" t="str">
        <f>'Invest. IF'!E344</f>
        <v>4.8.2</v>
      </c>
      <c r="G344" s="32" t="str">
        <f>'Invest. IF'!F344</f>
        <v>Quema de basura residencial o desechos vegetales</v>
      </c>
      <c r="H344" s="32" t="str">
        <f>'Invest. IF'!G344</f>
        <v>4.8</v>
      </c>
      <c r="I344" s="32" t="str">
        <f>'Invest. IF'!H344</f>
        <v>Otras quemas</v>
      </c>
      <c r="J344" s="32" t="str">
        <f>'Invest. IF'!I344</f>
        <v>Negligentes</v>
      </c>
      <c r="K344" s="32" t="str">
        <f>'Invest. IF'!M344</f>
        <v>Mayo</v>
      </c>
      <c r="L344" s="32" t="str">
        <f>'Invest. IF'!N344</f>
        <v>ITA_N-343_R20-LOMAS DE POLCURA_NR-644</v>
      </c>
      <c r="M344" s="32" t="str">
        <f>'Invest. IF'!O344</f>
        <v>Linares</v>
      </c>
      <c r="N344" s="32">
        <f>'Invest. IF'!J344</f>
        <v>270409</v>
      </c>
      <c r="O344" s="32">
        <f>'Invest. IF'!K344</f>
        <v>6010144</v>
      </c>
    </row>
    <row r="345" spans="1:15" x14ac:dyDescent="0.2">
      <c r="A345" s="36">
        <f>'Invest. IF'!A345</f>
        <v>344</v>
      </c>
      <c r="B345" s="21" t="e">
        <f>'Invest. IF'!#REF!</f>
        <v>#REF!</v>
      </c>
      <c r="C345" s="32" t="str">
        <f>'Invest. IF'!B345</f>
        <v>Talca</v>
      </c>
      <c r="D345" s="7">
        <f>'Invest. IF'!C345</f>
        <v>146</v>
      </c>
      <c r="E345" s="32" t="str">
        <f>'Invest. IF'!D345</f>
        <v>Doña Jacinta</v>
      </c>
      <c r="F345" s="32" t="str">
        <f>'Invest. IF'!E345</f>
        <v>4.8.2</v>
      </c>
      <c r="G345" s="32" t="str">
        <f>'Invest. IF'!F345</f>
        <v>Quema de basura residencial o desechos vegetales</v>
      </c>
      <c r="H345" s="32" t="str">
        <f>'Invest. IF'!G345</f>
        <v>4.8</v>
      </c>
      <c r="I345" s="32" t="str">
        <f>'Invest. IF'!H345</f>
        <v>Otras quemas</v>
      </c>
      <c r="J345" s="32" t="str">
        <f>'Invest. IF'!I345</f>
        <v>Negligentes</v>
      </c>
      <c r="K345" s="32" t="str">
        <f>'Invest. IF'!M345</f>
        <v>Mayo</v>
      </c>
      <c r="L345" s="32" t="str">
        <f>'Invest. IF'!N345</f>
        <v>ITA_N-344_R20-DOÑA JACINTA_NR-146</v>
      </c>
      <c r="M345" s="32" t="str">
        <f>'Invest. IF'!O345</f>
        <v>Talca</v>
      </c>
      <c r="N345" s="32">
        <f>'Invest. IF'!J345</f>
        <v>260123</v>
      </c>
      <c r="O345" s="32">
        <f>'Invest. IF'!K345</f>
        <v>6080071</v>
      </c>
    </row>
    <row r="346" spans="1:15" x14ac:dyDescent="0.2">
      <c r="A346" s="36">
        <f>'Invest. IF'!A346</f>
        <v>345</v>
      </c>
      <c r="B346" s="21" t="e">
        <f>'Invest. IF'!#REF!</f>
        <v>#REF!</v>
      </c>
      <c r="C346" s="32" t="str">
        <f>'Invest. IF'!B346</f>
        <v>Talca</v>
      </c>
      <c r="D346" s="7">
        <f>'Invest. IF'!C346</f>
        <v>469</v>
      </c>
      <c r="E346" s="32" t="str">
        <f>'Invest. IF'!D346</f>
        <v>Villa El Parque</v>
      </c>
      <c r="F346" s="32" t="str">
        <f>'Invest. IF'!E346</f>
        <v>4.10.11</v>
      </c>
      <c r="G346" s="32" t="str">
        <f>'Invest. IF'!F346</f>
        <v>Empleo de fuentes de calor por personas en situación de calle</v>
      </c>
      <c r="H346" s="32" t="str">
        <f>'Invest. IF'!G346</f>
        <v>4.10</v>
      </c>
      <c r="I346" s="32" t="str">
        <f>'Invest. IF'!H346</f>
        <v>Otras causas</v>
      </c>
      <c r="J346" s="32" t="str">
        <f>'Invest. IF'!I346</f>
        <v>Negligentes</v>
      </c>
      <c r="K346" s="32" t="str">
        <f>'Invest. IF'!M346</f>
        <v>Mayo</v>
      </c>
      <c r="L346" s="32" t="str">
        <f>'Invest. IF'!N346</f>
        <v>ITA_N-345_R20-VILLA EL PARQUE_NR-469</v>
      </c>
      <c r="M346" s="32" t="str">
        <f>'Invest. IF'!O346</f>
        <v>Talca</v>
      </c>
      <c r="N346" s="32">
        <f>'Invest. IF'!J346</f>
        <v>260867</v>
      </c>
      <c r="O346" s="32">
        <f>'Invest. IF'!K346</f>
        <v>6077625</v>
      </c>
    </row>
    <row r="347" spans="1:15" x14ac:dyDescent="0.2">
      <c r="A347" s="36">
        <f>'Invest. IF'!A347</f>
        <v>346</v>
      </c>
      <c r="B347" s="21" t="e">
        <f>'Invest. IF'!#REF!</f>
        <v>#REF!</v>
      </c>
      <c r="C347" s="32" t="str">
        <f>'Invest. IF'!B347</f>
        <v>Talca</v>
      </c>
      <c r="D347" s="7">
        <f>'Invest. IF'!C347</f>
        <v>553</v>
      </c>
      <c r="E347" s="32" t="str">
        <f>'Invest. IF'!D347</f>
        <v>Tabaco</v>
      </c>
      <c r="F347" s="32" t="str">
        <f>'Invest. IF'!E347</f>
        <v>4.8.2</v>
      </c>
      <c r="G347" s="32" t="str">
        <f>'Invest. IF'!F347</f>
        <v>Quema de basura residencial o desechos vegetales</v>
      </c>
      <c r="H347" s="32" t="str">
        <f>'Invest. IF'!G347</f>
        <v>4.8</v>
      </c>
      <c r="I347" s="32" t="str">
        <f>'Invest. IF'!H347</f>
        <v>Otras quemas</v>
      </c>
      <c r="J347" s="32" t="str">
        <f>'Invest. IF'!I347</f>
        <v>Negligentes</v>
      </c>
      <c r="K347" s="32" t="str">
        <f>'Invest. IF'!M347</f>
        <v>Mayo</v>
      </c>
      <c r="L347" s="32" t="str">
        <f>'Invest. IF'!N347</f>
        <v>ITA_N-346_R20-TABACO_NR-553</v>
      </c>
      <c r="M347" s="32" t="str">
        <f>'Invest. IF'!O347</f>
        <v>Talca</v>
      </c>
      <c r="N347" s="32">
        <f>'Invest. IF'!J347</f>
        <v>260441</v>
      </c>
      <c r="O347" s="32">
        <f>'Invest. IF'!K347</f>
        <v>6074041</v>
      </c>
    </row>
    <row r="348" spans="1:15" x14ac:dyDescent="0.2">
      <c r="A348" s="36">
        <f>'Invest. IF'!A348</f>
        <v>347</v>
      </c>
      <c r="B348" s="21" t="e">
        <f>'Invest. IF'!#REF!</f>
        <v>#REF!</v>
      </c>
      <c r="C348" s="32" t="str">
        <f>'Invest. IF'!B348</f>
        <v>Talca</v>
      </c>
      <c r="D348" s="7">
        <f>'Invest. IF'!C348</f>
        <v>487</v>
      </c>
      <c r="E348" s="32" t="str">
        <f>'Invest. IF'!D348</f>
        <v>Buena Vista</v>
      </c>
      <c r="F348" s="32" t="str">
        <f>'Invest. IF'!E348</f>
        <v>4.8.1</v>
      </c>
      <c r="G348" s="32" t="str">
        <f>'Invest. IF'!F348</f>
        <v>Quema no avisada con fines de limpieza en canales, cunetas, cercos o caminos (en predios particulares o públicos) que se propaga libre y sin control</v>
      </c>
      <c r="H348" s="32" t="str">
        <f>'Invest. IF'!G348</f>
        <v>4.8</v>
      </c>
      <c r="I348" s="32" t="str">
        <f>'Invest. IF'!H348</f>
        <v>Otras quemas</v>
      </c>
      <c r="J348" s="32" t="str">
        <f>'Invest. IF'!I348</f>
        <v>Negligentes</v>
      </c>
      <c r="K348" s="32" t="str">
        <f>'Invest. IF'!M348</f>
        <v>Mayo</v>
      </c>
      <c r="L348" s="32" t="str">
        <f>'Invest. IF'!N348</f>
        <v>ITA_N-347_R20-BUENA VISTA_NR-487</v>
      </c>
      <c r="M348" s="32" t="str">
        <f>'Invest. IF'!O348</f>
        <v>Talca</v>
      </c>
      <c r="N348" s="32">
        <f>'Invest. IF'!J348</f>
        <v>259978</v>
      </c>
      <c r="O348" s="32">
        <f>'Invest. IF'!K348</f>
        <v>6082356</v>
      </c>
    </row>
    <row r="349" spans="1:15" x14ac:dyDescent="0.2">
      <c r="A349" s="36">
        <f>'Invest. IF'!A349</f>
        <v>348</v>
      </c>
      <c r="B349" s="21" t="e">
        <f>'Invest. IF'!#REF!</f>
        <v>#REF!</v>
      </c>
      <c r="C349" s="32" t="str">
        <f>'Invest. IF'!B349</f>
        <v>Talca</v>
      </c>
      <c r="D349" s="7">
        <f>'Invest. IF'!C349</f>
        <v>578</v>
      </c>
      <c r="E349" s="32" t="str">
        <f>'Invest. IF'!D349</f>
        <v>El Retamo</v>
      </c>
      <c r="F349" s="32" t="str">
        <f>'Invest. IF'!E349</f>
        <v>4.9.5</v>
      </c>
      <c r="G349" s="32" t="str">
        <f>'Invest. IF'!F349</f>
        <v>Otras causas eléctricas negligentes no  clasificadas</v>
      </c>
      <c r="H349" s="32" t="str">
        <f>'Invest. IF'!G349</f>
        <v>4.9</v>
      </c>
      <c r="I349" s="32" t="str">
        <f>'Invest. IF'!H349</f>
        <v>Líneas eléctricas</v>
      </c>
      <c r="J349" s="32" t="str">
        <f>'Invest. IF'!I349</f>
        <v>Negligentes</v>
      </c>
      <c r="K349" s="32" t="str">
        <f>'Invest. IF'!M349</f>
        <v>Mayo</v>
      </c>
      <c r="L349" s="32" t="str">
        <f>'Invest. IF'!N349</f>
        <v>ITA_N-348_R20-EL RETAMO_NR-578</v>
      </c>
      <c r="M349" s="32" t="str">
        <f>'Invest. IF'!O349</f>
        <v>Talca</v>
      </c>
      <c r="N349" s="32">
        <f>'Invest. IF'!J349</f>
        <v>259603</v>
      </c>
      <c r="O349" s="32">
        <f>'Invest. IF'!K349</f>
        <v>6086934</v>
      </c>
    </row>
    <row r="350" spans="1:15" x14ac:dyDescent="0.2">
      <c r="A350" s="36">
        <f>'Invest. IF'!A350</f>
        <v>349</v>
      </c>
      <c r="B350" s="21" t="e">
        <f>'Invest. IF'!#REF!</f>
        <v>#REF!</v>
      </c>
      <c r="C350" s="32" t="str">
        <f>'Invest. IF'!B350</f>
        <v>Maule</v>
      </c>
      <c r="D350" s="7">
        <f>'Invest. IF'!C350</f>
        <v>361</v>
      </c>
      <c r="E350" s="32" t="str">
        <f>'Invest. IF'!D350</f>
        <v>San Juan</v>
      </c>
      <c r="F350" s="32" t="str">
        <f>'Invest. IF'!E350</f>
        <v>4.8.2</v>
      </c>
      <c r="G350" s="32" t="str">
        <f>'Invest. IF'!F350</f>
        <v>Quema de basura residencial o desechos vegetales</v>
      </c>
      <c r="H350" s="32" t="str">
        <f>'Invest. IF'!G350</f>
        <v>4.8</v>
      </c>
      <c r="I350" s="32" t="str">
        <f>'Invest. IF'!H350</f>
        <v>Otras quemas</v>
      </c>
      <c r="J350" s="32" t="str">
        <f>'Invest. IF'!I350</f>
        <v>Negligentes</v>
      </c>
      <c r="K350" s="32" t="str">
        <f>'Invest. IF'!M350</f>
        <v>Mayo</v>
      </c>
      <c r="L350" s="32" t="str">
        <f>'Invest. IF'!N350</f>
        <v>ITA_N-349_R20-SAN JUAN_NR-361</v>
      </c>
      <c r="M350" s="32" t="str">
        <f>'Invest. IF'!O350</f>
        <v>Talca</v>
      </c>
      <c r="N350" s="32">
        <f>'Invest. IF'!J350</f>
        <v>256379</v>
      </c>
      <c r="O350" s="32">
        <f>'Invest. IF'!K350</f>
        <v>6067108</v>
      </c>
    </row>
    <row r="351" spans="1:15" x14ac:dyDescent="0.2">
      <c r="A351" s="36">
        <f>'Invest. IF'!A351</f>
        <v>350</v>
      </c>
      <c r="B351" s="21" t="e">
        <f>'Invest. IF'!#REF!</f>
        <v>#REF!</v>
      </c>
      <c r="C351" s="32" t="str">
        <f>'Invest. IF'!B351</f>
        <v>Maule</v>
      </c>
      <c r="D351" s="7">
        <f>'Invest. IF'!C351</f>
        <v>533</v>
      </c>
      <c r="E351" s="32" t="str">
        <f>'Invest. IF'!D351</f>
        <v>Ovejería Negra</v>
      </c>
      <c r="F351" s="32" t="str">
        <f>'Invest. IF'!E351</f>
        <v>4.8.2</v>
      </c>
      <c r="G351" s="32" t="str">
        <f>'Invest. IF'!F351</f>
        <v>Quema de basura residencial o desechos vegetales</v>
      </c>
      <c r="H351" s="32" t="str">
        <f>'Invest. IF'!G351</f>
        <v>4.8</v>
      </c>
      <c r="I351" s="32" t="str">
        <f>'Invest. IF'!H351</f>
        <v>Otras quemas</v>
      </c>
      <c r="J351" s="32" t="str">
        <f>'Invest. IF'!I351</f>
        <v>Negligentes</v>
      </c>
      <c r="K351" s="32" t="str">
        <f>'Invest. IF'!M351</f>
        <v>Mayo</v>
      </c>
      <c r="L351" s="32" t="str">
        <f>'Invest. IF'!N351</f>
        <v>ITA_N-350_R20-OVEJERIA NEGRA_NR-533</v>
      </c>
      <c r="M351" s="32" t="str">
        <f>'Invest. IF'!O351</f>
        <v>Talca</v>
      </c>
      <c r="N351" s="32">
        <f>'Invest. IF'!J351</f>
        <v>252237</v>
      </c>
      <c r="O351" s="32">
        <f>'Invest. IF'!K351</f>
        <v>6065489</v>
      </c>
    </row>
    <row r="352" spans="1:15" x14ac:dyDescent="0.2">
      <c r="A352" s="36">
        <f>'Invest. IF'!A352</f>
        <v>351</v>
      </c>
      <c r="B352" s="21" t="e">
        <f>'Invest. IF'!#REF!</f>
        <v>#REF!</v>
      </c>
      <c r="C352" s="32" t="str">
        <f>'Invest. IF'!B352</f>
        <v>Longaví</v>
      </c>
      <c r="D352" s="7">
        <f>'Invest. IF'!C352</f>
        <v>424</v>
      </c>
      <c r="E352" s="32" t="str">
        <f>'Invest. IF'!D352</f>
        <v>San Francisco</v>
      </c>
      <c r="F352" s="32" t="str">
        <f>'Invest. IF'!E352</f>
        <v>1.2.2</v>
      </c>
      <c r="G352" s="32" t="str">
        <f>'Invest. IF'!F352</f>
        <v>Partículas incandescentes  generadas por roce de maquinaria o herramienta agrícola con rocas, cercos o material metálico</v>
      </c>
      <c r="H352" s="32" t="str">
        <f>'Invest. IF'!G352</f>
        <v>1.2</v>
      </c>
      <c r="I352" s="32" t="str">
        <f>'Invest. IF'!H352</f>
        <v>Faenas agrícolas y pecuarias</v>
      </c>
      <c r="J352" s="32" t="str">
        <f>'Invest. IF'!I352</f>
        <v>Accidentales</v>
      </c>
      <c r="K352" s="32" t="str">
        <f>'Invest. IF'!M352</f>
        <v>Mayo</v>
      </c>
      <c r="L352" s="32" t="str">
        <f>'Invest. IF'!N352</f>
        <v>ITA_N-351_R20-SAN FRANCISCO_NR-424</v>
      </c>
      <c r="M352" s="32" t="str">
        <f>'Invest. IF'!O352</f>
        <v>Linares</v>
      </c>
      <c r="N352" s="32">
        <f>'Invest. IF'!J352</f>
        <v>266619</v>
      </c>
      <c r="O352" s="32">
        <f>'Invest. IF'!K352</f>
        <v>6007901</v>
      </c>
    </row>
    <row r="353" spans="1:15" x14ac:dyDescent="0.2">
      <c r="A353" s="36">
        <f>'Invest. IF'!A353</f>
        <v>352</v>
      </c>
      <c r="B353" s="21" t="e">
        <f>'Invest. IF'!#REF!</f>
        <v>#REF!</v>
      </c>
      <c r="C353" s="32" t="str">
        <f>'Invest. IF'!B353</f>
        <v>Longaví</v>
      </c>
      <c r="D353" s="7">
        <f>'Invest. IF'!C353</f>
        <v>349</v>
      </c>
      <c r="E353" s="32" t="str">
        <f>'Invest. IF'!D353</f>
        <v>Lomas de la Tercera</v>
      </c>
      <c r="F353" s="32" t="str">
        <f>'Invest. IF'!E353</f>
        <v>4.9.1</v>
      </c>
      <c r="G353" s="32" t="str">
        <f>'Invest. IF'!F353</f>
        <v>Combustión de la vegetación, producto del contacto o proximidad con el tendido eléctrico</v>
      </c>
      <c r="H353" s="32" t="str">
        <f>'Invest. IF'!G353</f>
        <v>4.9</v>
      </c>
      <c r="I353" s="32" t="str">
        <f>'Invest. IF'!H353</f>
        <v>Líneas eléctricas</v>
      </c>
      <c r="J353" s="32" t="str">
        <f>'Invest. IF'!I353</f>
        <v>Negligentes</v>
      </c>
      <c r="K353" s="32" t="str">
        <f>'Invest. IF'!M353</f>
        <v>Mayo</v>
      </c>
      <c r="L353" s="32" t="str">
        <f>'Invest. IF'!N353</f>
        <v>ITA_N-352_R20-LOMAS DE LA TERCERA_NR-349</v>
      </c>
      <c r="M353" s="32" t="str">
        <f>'Invest. IF'!O353</f>
        <v>Linares</v>
      </c>
      <c r="N353" s="32">
        <f>'Invest. IF'!J353</f>
        <v>261477</v>
      </c>
      <c r="O353" s="32">
        <f>'Invest. IF'!K353</f>
        <v>6007207</v>
      </c>
    </row>
    <row r="354" spans="1:15" x14ac:dyDescent="0.2">
      <c r="A354" s="36">
        <f>'Invest. IF'!A354</f>
        <v>353</v>
      </c>
      <c r="B354" s="21" t="e">
        <f>'Invest. IF'!#REF!</f>
        <v>#REF!</v>
      </c>
      <c r="C354" s="32" t="str">
        <f>'Invest. IF'!B354</f>
        <v>Longaví</v>
      </c>
      <c r="D354" s="7">
        <f>'Invest. IF'!C354</f>
        <v>147</v>
      </c>
      <c r="E354" s="32" t="str">
        <f>'Invest. IF'!D354</f>
        <v>Santa Juana</v>
      </c>
      <c r="F354" s="32" t="str">
        <f>'Invest. IF'!E354</f>
        <v>4.8.1</v>
      </c>
      <c r="G354" s="32" t="str">
        <f>'Invest. IF'!F354</f>
        <v>Quema no avisada con fines de limpieza en canales, cunetas, cercos o caminos (en predios particulares o públicos) que se propaga libre y sin control</v>
      </c>
      <c r="H354" s="32" t="str">
        <f>'Invest. IF'!G354</f>
        <v>4.8</v>
      </c>
      <c r="I354" s="32" t="str">
        <f>'Invest. IF'!H354</f>
        <v>Otras quemas</v>
      </c>
      <c r="J354" s="32" t="str">
        <f>'Invest. IF'!I354</f>
        <v>Negligentes</v>
      </c>
      <c r="K354" s="32" t="str">
        <f>'Invest. IF'!M354</f>
        <v>Mayo</v>
      </c>
      <c r="L354" s="32" t="str">
        <f>'Invest. IF'!N354</f>
        <v>ITA_N-353_R20-SANTA JUANA_NR-147</v>
      </c>
      <c r="M354" s="32" t="str">
        <f>'Invest. IF'!O354</f>
        <v>Linares</v>
      </c>
      <c r="N354" s="32">
        <f>'Invest. IF'!J354</f>
        <v>262079</v>
      </c>
      <c r="O354" s="32">
        <f>'Invest. IF'!K354</f>
        <v>6023219</v>
      </c>
    </row>
    <row r="355" spans="1:15" x14ac:dyDescent="0.2">
      <c r="A355" s="36">
        <f>'Invest. IF'!A355</f>
        <v>354</v>
      </c>
      <c r="B355" s="21" t="e">
        <f>'Invest. IF'!#REF!</f>
        <v>#REF!</v>
      </c>
      <c r="C355" s="32" t="str">
        <f>'Invest. IF'!B355</f>
        <v>Maule</v>
      </c>
      <c r="D355" s="7">
        <f>'Invest. IF'!C355</f>
        <v>668</v>
      </c>
      <c r="E355" s="32" t="str">
        <f>'Invest. IF'!D355</f>
        <v>Santa Rosa de lavadero 4</v>
      </c>
      <c r="F355" s="32" t="str">
        <f>'Invest. IF'!E355</f>
        <v>4.6.1</v>
      </c>
      <c r="G355" s="32" t="str">
        <f>'Invest. IF'!F355</f>
        <v>Generado por el uso de equipos o herramientas con fines de construcción, limpieza o montaje de estructuras</v>
      </c>
      <c r="H355" s="32" t="str">
        <f>'Invest. IF'!G355</f>
        <v>4.6</v>
      </c>
      <c r="I355" s="32" t="str">
        <f>'Invest. IF'!H355</f>
        <v>Parcelaciones, edificaciones residenciales, industriales u otras en zonas rurales o de interfaz</v>
      </c>
      <c r="J355" s="32" t="str">
        <f>'Invest. IF'!I355</f>
        <v>Negligentes</v>
      </c>
      <c r="K355" s="32" t="str">
        <f>'Invest. IF'!M355</f>
        <v>Mayo</v>
      </c>
      <c r="L355" s="32" t="str">
        <f>'Invest. IF'!N355</f>
        <v>ITA_N-354_R20-SANTA ROSA DE LAVADERO 4_NR-668</v>
      </c>
      <c r="M355" s="32" t="str">
        <f>'Invest. IF'!O355</f>
        <v>Talca</v>
      </c>
      <c r="N355" s="32">
        <f>'Invest. IF'!J355</f>
        <v>251859</v>
      </c>
      <c r="O355" s="32">
        <f>'Invest. IF'!K355</f>
        <v>6063402</v>
      </c>
    </row>
    <row r="356" spans="1:15" x14ac:dyDescent="0.2">
      <c r="A356" s="36">
        <f>'Invest. IF'!A356</f>
        <v>355</v>
      </c>
      <c r="B356" s="21" t="e">
        <f>'Invest. IF'!#REF!</f>
        <v>#REF!</v>
      </c>
      <c r="C356" s="32" t="str">
        <f>'Invest. IF'!B356</f>
        <v>San Javier</v>
      </c>
      <c r="D356" s="7">
        <f>'Invest. IF'!C356</f>
        <v>160</v>
      </c>
      <c r="E356" s="32" t="str">
        <f>'Invest. IF'!D356</f>
        <v>Altos de Santa Rita</v>
      </c>
      <c r="F356" s="32" t="str">
        <f>'Invest. IF'!E356</f>
        <v>4.9.5</v>
      </c>
      <c r="G356" s="32" t="str">
        <f>'Invest. IF'!F356</f>
        <v>Otras causas eléctricas negligentes no  clasificadas</v>
      </c>
      <c r="H356" s="32" t="str">
        <f>'Invest. IF'!G356</f>
        <v>4.9</v>
      </c>
      <c r="I356" s="32" t="str">
        <f>'Invest. IF'!H356</f>
        <v>Líneas eléctricas</v>
      </c>
      <c r="J356" s="32" t="str">
        <f>'Invest. IF'!I356</f>
        <v>Negligentes</v>
      </c>
      <c r="K356" s="32" t="str">
        <f>'Invest. IF'!M356</f>
        <v>Junio</v>
      </c>
      <c r="L356" s="32" t="str">
        <f>'Invest. IF'!N356</f>
        <v>ITA_N-355_R20-ALTOS DE SANTA RITA_NR-160</v>
      </c>
      <c r="M356" s="32" t="str">
        <f>'Invest. IF'!O356</f>
        <v>Linares</v>
      </c>
      <c r="N356" s="32">
        <f>'Invest. IF'!J356</f>
        <v>249604</v>
      </c>
      <c r="O356" s="32">
        <f>'Invest. IF'!K356</f>
        <v>6055878</v>
      </c>
    </row>
    <row r="357" spans="1:15" x14ac:dyDescent="0.2">
      <c r="A357" s="36">
        <f>'Invest. IF'!A357</f>
        <v>356</v>
      </c>
      <c r="B357" s="21" t="e">
        <f>'Invest. IF'!#REF!</f>
        <v>#REF!</v>
      </c>
      <c r="C357" s="32" t="str">
        <f>'Invest. IF'!B357</f>
        <v>Villa Alegre</v>
      </c>
      <c r="D357" s="7">
        <f>'Invest. IF'!C357</f>
        <v>242</v>
      </c>
      <c r="E357" s="32" t="str">
        <f>'Invest. IF'!D357</f>
        <v>Huaraculén</v>
      </c>
      <c r="F357" s="32" t="str">
        <f>'Invest. IF'!E357</f>
        <v>4.10.5</v>
      </c>
      <c r="G357" s="32" t="str">
        <f>'Invest. IF'!F357</f>
        <v>Empleo de fuentes de calor por menores de edad</v>
      </c>
      <c r="H357" s="32" t="str">
        <f>'Invest. IF'!G357</f>
        <v>4.10</v>
      </c>
      <c r="I357" s="32" t="str">
        <f>'Invest. IF'!H357</f>
        <v>Otras causas</v>
      </c>
      <c r="J357" s="32" t="str">
        <f>'Invest. IF'!I357</f>
        <v>Negligentes</v>
      </c>
      <c r="K357" s="32" t="str">
        <f>'Invest. IF'!M357</f>
        <v>Junio</v>
      </c>
      <c r="L357" s="32" t="str">
        <f>'Invest. IF'!N357</f>
        <v>ITA_N-356_R20-HUERUCALÉN_NR-242</v>
      </c>
      <c r="M357" s="32" t="str">
        <f>'Invest. IF'!O357</f>
        <v>Linares</v>
      </c>
      <c r="N357" s="32">
        <f>'Invest. IF'!J357</f>
        <v>252325</v>
      </c>
      <c r="O357" s="32">
        <f>'Invest. IF'!K357</f>
        <v>6049046</v>
      </c>
    </row>
    <row r="358" spans="1:15" x14ac:dyDescent="0.2">
      <c r="A358" s="36">
        <f>'Invest. IF'!A358</f>
        <v>357</v>
      </c>
      <c r="B358" s="21" t="e">
        <f>'Invest. IF'!#REF!</f>
        <v>#REF!</v>
      </c>
      <c r="C358" s="32" t="str">
        <f>'Invest. IF'!B358</f>
        <v>Maule</v>
      </c>
      <c r="D358" s="7">
        <f>'Invest. IF'!C358</f>
        <v>525</v>
      </c>
      <c r="E358" s="32" t="str">
        <f>'Invest. IF'!D358</f>
        <v>Chivato</v>
      </c>
      <c r="F358" s="32" t="str">
        <f>'Invest. IF'!E358</f>
        <v>4.3.1</v>
      </c>
      <c r="G358" s="32" t="str">
        <f>'Invest. IF'!F358</f>
        <v>Empleo de fuentes de calor en áreas no habilitadas, como fogatas para cocinar, cocinillas, calefacción, elementos para iluminar u otros.</v>
      </c>
      <c r="H358" s="32" t="str">
        <f>'Invest. IF'!G358</f>
        <v>4.3</v>
      </c>
      <c r="I358" s="32" t="str">
        <f>'Invest. IF'!H358</f>
        <v>Actividades al aire libre (camping, excursiones, caza, pesca, otros)</v>
      </c>
      <c r="J358" s="32" t="str">
        <f>'Invest. IF'!I358</f>
        <v>Negligentes</v>
      </c>
      <c r="K358" s="32" t="str">
        <f>'Invest. IF'!M358</f>
        <v>Junio</v>
      </c>
      <c r="L358" s="32" t="str">
        <f>'Invest. IF'!N358</f>
        <v>ITA_N-357_R20-CHIVATO_NR-525</v>
      </c>
      <c r="M358" s="32" t="str">
        <f>'Invest. IF'!O358</f>
        <v>Talca</v>
      </c>
      <c r="N358" s="32">
        <f>'Invest. IF'!J358</f>
        <v>254138</v>
      </c>
      <c r="O358" s="32">
        <f>'Invest. IF'!K358</f>
        <v>6064461</v>
      </c>
    </row>
    <row r="359" spans="1:15" x14ac:dyDescent="0.2">
      <c r="A359" s="36">
        <f>'Invest. IF'!A359</f>
        <v>358</v>
      </c>
      <c r="B359" s="21" t="e">
        <f>'Invest. IF'!#REF!</f>
        <v>#REF!</v>
      </c>
      <c r="C359" s="32" t="str">
        <f>'Invest. IF'!B359</f>
        <v>Río Claro</v>
      </c>
      <c r="D359" s="7">
        <f>'Invest. IF'!C359</f>
        <v>283</v>
      </c>
      <c r="E359" s="32" t="str">
        <f>'Invest. IF'!D359</f>
        <v>Camarico</v>
      </c>
      <c r="F359" s="32" t="str">
        <f>'Invest. IF'!E359</f>
        <v>4.6.5</v>
      </c>
      <c r="G359" s="32" t="str">
        <f>'Invest. IF'!F359</f>
        <v>Empleo de fuentes de calor en actividades relacionadas a parcelaciones (asados, tijerales, fogatas, otros)</v>
      </c>
      <c r="H359" s="32" t="str">
        <f>'Invest. IF'!G359</f>
        <v>4.6</v>
      </c>
      <c r="I359" s="32" t="str">
        <f>'Invest. IF'!H359</f>
        <v>Parcelaciones, edificaciones residenciales, industriales u otras en zonas rurales o de interfaz</v>
      </c>
      <c r="J359" s="32" t="str">
        <f>'Invest. IF'!I359</f>
        <v>Negligentes</v>
      </c>
      <c r="K359" s="32" t="str">
        <f>'Invest. IF'!M359</f>
        <v>Junio</v>
      </c>
      <c r="L359" s="32" t="str">
        <f>'Invest. IF'!N359</f>
        <v>ITA_N-358_R20-CAMARICO_NR-283</v>
      </c>
      <c r="M359" s="32" t="str">
        <f>'Invest. IF'!O359</f>
        <v>Talca</v>
      </c>
      <c r="N359" s="32">
        <f>'Invest. IF'!J359</f>
        <v>278464</v>
      </c>
      <c r="O359" s="32">
        <f>'Invest. IF'!K359</f>
        <v>6099290</v>
      </c>
    </row>
    <row r="360" spans="1:15" x14ac:dyDescent="0.2">
      <c r="A360" s="36">
        <f>'Invest. IF'!A360</f>
        <v>359</v>
      </c>
      <c r="B360" s="21" t="e">
        <f>'Invest. IF'!#REF!</f>
        <v>#REF!</v>
      </c>
      <c r="C360" s="32" t="str">
        <f>'Invest. IF'!B360</f>
        <v>Río Claro</v>
      </c>
      <c r="D360" s="7">
        <f>'Invest. IF'!C360</f>
        <v>243</v>
      </c>
      <c r="E360" s="32" t="str">
        <f>'Invest. IF'!D360</f>
        <v>Los Maquis 2</v>
      </c>
      <c r="F360" s="32" t="str">
        <f>'Invest. IF'!E360</f>
        <v>4.2.8</v>
      </c>
      <c r="G360" s="32" t="str">
        <f>'Invest. IF'!F360</f>
        <v>Otras causas negligentes no clasificadas en faenas agrícolas y pecuarias</v>
      </c>
      <c r="H360" s="32" t="str">
        <f>'Invest. IF'!G360</f>
        <v>4.2</v>
      </c>
      <c r="I360" s="32" t="str">
        <f>'Invest. IF'!H360</f>
        <v>Faenas agrícolas y pecuarias</v>
      </c>
      <c r="J360" s="32" t="str">
        <f>'Invest. IF'!I360</f>
        <v>Negligentes</v>
      </c>
      <c r="K360" s="32" t="str">
        <f>'Invest. IF'!M360</f>
        <v>Junio</v>
      </c>
      <c r="L360" s="32" t="str">
        <f>'Invest. IF'!N360</f>
        <v>ITA_N-359_R20-LOS MAQUIS 2_NR-243</v>
      </c>
      <c r="M360" s="32" t="str">
        <f>'Invest. IF'!O360</f>
        <v>Talca</v>
      </c>
      <c r="N360" s="32">
        <f>'Invest. IF'!J360</f>
        <v>278433</v>
      </c>
      <c r="O360" s="32">
        <f>'Invest. IF'!K360</f>
        <v>6099767</v>
      </c>
    </row>
    <row r="361" spans="1:15" x14ac:dyDescent="0.2">
      <c r="A361" s="36">
        <f>'Invest. IF'!A361</f>
        <v>360</v>
      </c>
      <c r="B361" s="21" t="e">
        <f>'Invest. IF'!#REF!</f>
        <v>#REF!</v>
      </c>
      <c r="C361" s="32" t="str">
        <f>'Invest. IF'!B361</f>
        <v>San Rafael</v>
      </c>
      <c r="D361" s="7">
        <f>'Invest. IF'!C361</f>
        <v>476</v>
      </c>
      <c r="E361" s="32" t="str">
        <f>'Invest. IF'!D361</f>
        <v>Camarico 2</v>
      </c>
      <c r="F361" s="32" t="str">
        <f>'Invest. IF'!E361</f>
        <v>2.1.1</v>
      </c>
      <c r="G361" s="32" t="str">
        <f>'Invest. IF'!F361</f>
        <v>Provocado, no se identifica la motivación</v>
      </c>
      <c r="H361" s="32" t="str">
        <f>'Invest. IF'!G361</f>
        <v>2.1</v>
      </c>
      <c r="I361" s="32" t="str">
        <f>'Invest. IF'!H361</f>
        <v>Incendios intencionales</v>
      </c>
      <c r="J361" s="32" t="str">
        <f>'Invest. IF'!I361</f>
        <v>Intencionales</v>
      </c>
      <c r="K361" s="32" t="str">
        <f>'Invest. IF'!M361</f>
        <v>Junio</v>
      </c>
      <c r="L361" s="32" t="str">
        <f>'Invest. IF'!N361</f>
        <v>ITA_N-360_R20-CAMARICO 2_NR-476</v>
      </c>
      <c r="M361" s="32" t="str">
        <f>'Invest. IF'!O361</f>
        <v>Talca</v>
      </c>
      <c r="N361" s="32">
        <f>'Invest. IF'!J361</f>
        <v>277541</v>
      </c>
      <c r="O361" s="32">
        <f>'Invest. IF'!K361</f>
        <v>6098646</v>
      </c>
    </row>
    <row r="362" spans="1:15" x14ac:dyDescent="0.2">
      <c r="A362" s="36">
        <f>'Invest. IF'!A362</f>
        <v>361</v>
      </c>
      <c r="B362" s="21" t="e">
        <f>'Invest. IF'!#REF!</f>
        <v>#REF!</v>
      </c>
      <c r="C362" s="32" t="str">
        <f>'Invest. IF'!B362</f>
        <v>San Rafael</v>
      </c>
      <c r="D362" s="7">
        <f>'Invest. IF'!C362</f>
        <v>480</v>
      </c>
      <c r="E362" s="32" t="str">
        <f>'Invest. IF'!D362</f>
        <v>Camarico 3</v>
      </c>
      <c r="F362" s="32" t="str">
        <f>'Invest. IF'!E362</f>
        <v>4.5.1</v>
      </c>
      <c r="G362" s="32" t="str">
        <f>'Invest. IF'!F362</f>
        <v>Rebrote de incendio anterior, declarado extinto</v>
      </c>
      <c r="H362" s="32" t="str">
        <f>'Invest. IF'!G362</f>
        <v>4.5</v>
      </c>
      <c r="I362" s="32" t="str">
        <f>'Invest. IF'!H362</f>
        <v>Actividades de control y extinción de incendios forestales</v>
      </c>
      <c r="J362" s="32" t="str">
        <f>'Invest. IF'!I362</f>
        <v>Negligentes</v>
      </c>
      <c r="K362" s="32" t="str">
        <f>'Invest. IF'!M362</f>
        <v>Junio</v>
      </c>
      <c r="L362" s="32" t="str">
        <f>'Invest. IF'!N362</f>
        <v>ITA_N-361_R20-CAMARICO 3_NR-480</v>
      </c>
      <c r="M362" s="32" t="str">
        <f>'Invest. IF'!O362</f>
        <v>Talca</v>
      </c>
      <c r="N362" s="32">
        <f>'Invest. IF'!J362</f>
        <v>277711</v>
      </c>
      <c r="O362" s="32">
        <f>'Invest. IF'!K362</f>
        <v>6098820</v>
      </c>
    </row>
    <row r="363" spans="1:15" x14ac:dyDescent="0.2">
      <c r="A363" s="36">
        <f>'Invest. IF'!A363</f>
        <v>362</v>
      </c>
      <c r="B363" s="21" t="e">
        <f>'Invest. IF'!#REF!</f>
        <v>#REF!</v>
      </c>
      <c r="C363" s="32" t="str">
        <f>'Invest. IF'!B363</f>
        <v>Maule</v>
      </c>
      <c r="D363" s="7">
        <f>'Invest. IF'!C363</f>
        <v>501</v>
      </c>
      <c r="E363" s="32" t="str">
        <f>'Invest. IF'!D363</f>
        <v>Cerrillo Caivan</v>
      </c>
      <c r="F363" s="32" t="str">
        <f>'Invest. IF'!E363</f>
        <v>4.8.1</v>
      </c>
      <c r="G363" s="32" t="str">
        <f>'Invest. IF'!F363</f>
        <v>Quema no avisada con fines de limpieza en canales, cunetas, cercos o caminos (en predios particulares o públicos) que se propaga libre y sin control</v>
      </c>
      <c r="H363" s="32" t="str">
        <f>'Invest. IF'!G363</f>
        <v>4.8</v>
      </c>
      <c r="I363" s="32" t="str">
        <f>'Invest. IF'!H363</f>
        <v>Otras quemas</v>
      </c>
      <c r="J363" s="32" t="str">
        <f>'Invest. IF'!I363</f>
        <v>Negligentes</v>
      </c>
      <c r="K363" s="32" t="str">
        <f>'Invest. IF'!M363</f>
        <v>Junio</v>
      </c>
      <c r="L363" s="32" t="str">
        <f>'Invest. IF'!N363</f>
        <v>ITA_N-362_R20-CERRILLO CAIVAN_NR-501</v>
      </c>
      <c r="M363" s="32" t="str">
        <f>'Invest. IF'!O363</f>
        <v>Talca</v>
      </c>
      <c r="N363" s="32">
        <f>'Invest. IF'!J363</f>
        <v>259939</v>
      </c>
      <c r="O363" s="32">
        <f>'Invest. IF'!K363</f>
        <v>6070055</v>
      </c>
    </row>
    <row r="364" spans="1:15" x14ac:dyDescent="0.2">
      <c r="A364" s="36">
        <f>'Invest. IF'!A364</f>
        <v>363</v>
      </c>
      <c r="B364" s="21" t="e">
        <f>'Invest. IF'!#REF!</f>
        <v>#REF!</v>
      </c>
      <c r="C364" s="32" t="str">
        <f>'Invest. IF'!B364</f>
        <v>Retiro</v>
      </c>
      <c r="D364" s="7">
        <f>'Invest. IF'!C364</f>
        <v>500</v>
      </c>
      <c r="E364" s="32" t="str">
        <f>'Invest. IF'!D364</f>
        <v>Santa Luisa</v>
      </c>
      <c r="F364" s="32" t="str">
        <f>'Invest. IF'!E364</f>
        <v>4.2.4</v>
      </c>
      <c r="G364" s="32" t="str">
        <f>'Invest. IF'!F364</f>
        <v>Partícula incandescente generada sin roce por vehículo, maquinaria o herramienta agrícola</v>
      </c>
      <c r="H364" s="32" t="str">
        <f>'Invest. IF'!G364</f>
        <v>4.2</v>
      </c>
      <c r="I364" s="32" t="str">
        <f>'Invest. IF'!H364</f>
        <v>Faenas agrícolas y pecuarias</v>
      </c>
      <c r="J364" s="32" t="str">
        <f>'Invest. IF'!I364</f>
        <v>Negligentes</v>
      </c>
      <c r="K364" s="32" t="str">
        <f>'Invest. IF'!M364</f>
        <v>Junio</v>
      </c>
      <c r="L364" s="32" t="str">
        <f>'Invest. IF'!N364</f>
        <v>ITA_N-363_R20-SANTA LUISA_NR-500</v>
      </c>
      <c r="M364" s="32" t="str">
        <f>'Invest. IF'!O364</f>
        <v>Linares</v>
      </c>
      <c r="N364" s="32">
        <f>'Invest. IF'!J364</f>
        <v>251758</v>
      </c>
      <c r="O364" s="32">
        <f>'Invest. IF'!K364</f>
        <v>6010480</v>
      </c>
    </row>
    <row r="365" spans="1:15" x14ac:dyDescent="0.2">
      <c r="A365" s="36">
        <f>'Invest. IF'!A365</f>
        <v>364</v>
      </c>
      <c r="B365" s="21" t="e">
        <f>'Invest. IF'!#REF!</f>
        <v>#REF!</v>
      </c>
      <c r="C365" s="32" t="str">
        <f>'Invest. IF'!B365</f>
        <v>Retiro</v>
      </c>
      <c r="D365" s="7">
        <f>'Invest. IF'!C365</f>
        <v>652</v>
      </c>
      <c r="E365" s="32" t="str">
        <f>'Invest. IF'!D365</f>
        <v>Piguchén 2</v>
      </c>
      <c r="F365" s="32" t="str">
        <f>'Invest. IF'!E365</f>
        <v>4.2.1</v>
      </c>
      <c r="G365" s="32" t="str">
        <f>'Invest. IF'!F365</f>
        <v>Quema no avisada de desechos agrícolas que se propaga libre y sin control</v>
      </c>
      <c r="H365" s="32" t="str">
        <f>'Invest. IF'!G365</f>
        <v>4.2</v>
      </c>
      <c r="I365" s="32" t="str">
        <f>'Invest. IF'!H365</f>
        <v>Faenas agrícolas y pecuarias</v>
      </c>
      <c r="J365" s="32" t="str">
        <f>'Invest. IF'!I365</f>
        <v>Negligentes</v>
      </c>
      <c r="K365" s="32" t="str">
        <f>'Invest. IF'!M365</f>
        <v>Junio</v>
      </c>
      <c r="L365" s="32" t="str">
        <f>'Invest. IF'!N365</f>
        <v>ITA_N-364_R20-PIGUCHEN 2_NR-652</v>
      </c>
      <c r="M365" s="32" t="str">
        <f>'Invest. IF'!O365</f>
        <v>Linares</v>
      </c>
      <c r="N365" s="32">
        <f>'Invest. IF'!J365</f>
        <v>249064</v>
      </c>
      <c r="O365" s="32">
        <f>'Invest. IF'!K365</f>
        <v>6016317</v>
      </c>
    </row>
    <row r="366" spans="1:15" x14ac:dyDescent="0.2">
      <c r="A366" s="36">
        <f>'Invest. IF'!A366</f>
        <v>365</v>
      </c>
      <c r="B366" s="21" t="e">
        <f>'Invest. IF'!#REF!</f>
        <v>#REF!</v>
      </c>
      <c r="C366" s="32" t="str">
        <f>'Invest. IF'!B366</f>
        <v>Maule</v>
      </c>
      <c r="D366" s="7">
        <f>'Invest. IF'!C366</f>
        <v>528</v>
      </c>
      <c r="E366" s="32" t="str">
        <f>'Invest. IF'!D366</f>
        <v>Santa Rosa de Lavaderos 3</v>
      </c>
      <c r="F366" s="32" t="str">
        <f>'Invest. IF'!E366</f>
        <v>4.8.2</v>
      </c>
      <c r="G366" s="32" t="str">
        <f>'Invest. IF'!F366</f>
        <v>Quema de basura residencial o desechos vegetales</v>
      </c>
      <c r="H366" s="32" t="str">
        <f>'Invest. IF'!G366</f>
        <v>4.8</v>
      </c>
      <c r="I366" s="32" t="str">
        <f>'Invest. IF'!H366</f>
        <v>Otras quemas</v>
      </c>
      <c r="J366" s="32" t="str">
        <f>'Invest. IF'!I366</f>
        <v>Negligentes</v>
      </c>
      <c r="K366" s="32" t="str">
        <f>'Invest. IF'!M366</f>
        <v>Junio</v>
      </c>
      <c r="L366" s="32" t="str">
        <f>'Invest. IF'!N366</f>
        <v>ITA_N-365_R20-SANTA ROSA DE LAVADEROS 3_NR-528</v>
      </c>
      <c r="M366" s="32" t="str">
        <f>'Invest. IF'!O366</f>
        <v>Talca</v>
      </c>
      <c r="N366" s="32">
        <f>'Invest. IF'!J366</f>
        <v>249844</v>
      </c>
      <c r="O366" s="32">
        <f>'Invest. IF'!K366</f>
        <v>6063985</v>
      </c>
    </row>
    <row r="367" spans="1:15" x14ac:dyDescent="0.2">
      <c r="A367" s="36">
        <f>'Invest. IF'!A367</f>
        <v>366</v>
      </c>
      <c r="B367" s="21" t="e">
        <f>'Invest. IF'!#REF!</f>
        <v>#REF!</v>
      </c>
      <c r="C367" s="32" t="str">
        <f>'Invest. IF'!B367</f>
        <v>Maule</v>
      </c>
      <c r="D367" s="7">
        <f>'Invest. IF'!C367</f>
        <v>228</v>
      </c>
      <c r="E367" s="32" t="str">
        <f>'Invest. IF'!D367</f>
        <v>Buena estrella</v>
      </c>
      <c r="F367" s="32" t="str">
        <f>'Invest. IF'!E367</f>
        <v>4.11.3</v>
      </c>
      <c r="G367" s="32" t="str">
        <f>'Invest. IF'!F367</f>
        <v>Empleo de fuentes de calor en faena de extracción y/o confección de leña no industrial</v>
      </c>
      <c r="H367" s="32" t="str">
        <f>'Invest. IF'!G367</f>
        <v>4.11</v>
      </c>
      <c r="I367" s="32" t="str">
        <f>'Invest. IF'!H367</f>
        <v>Producción y/o extracción de productos y/o derivados del bosque</v>
      </c>
      <c r="J367" s="32" t="str">
        <f>'Invest. IF'!I367</f>
        <v>Negligentes</v>
      </c>
      <c r="K367" s="32" t="str">
        <f>'Invest. IF'!M367</f>
        <v>Junio</v>
      </c>
      <c r="L367" s="32" t="str">
        <f>'Invest. IF'!N367</f>
        <v>ITA_N-366_R20-BUENA ESTRELLA_NR-228</v>
      </c>
      <c r="M367" s="32" t="str">
        <f>'Invest. IF'!O367</f>
        <v>Talca</v>
      </c>
      <c r="N367" s="32">
        <f>'Invest. IF'!J367</f>
        <v>257922</v>
      </c>
      <c r="O367" s="32">
        <f>'Invest. IF'!K367</f>
        <v>6067023</v>
      </c>
    </row>
    <row r="368" spans="1:15" x14ac:dyDescent="0.2">
      <c r="A368" s="36">
        <f>'Invest. IF'!A368</f>
        <v>367</v>
      </c>
      <c r="B368" s="21" t="e">
        <f>'Invest. IF'!#REF!</f>
        <v>#REF!</v>
      </c>
      <c r="C368" s="32" t="str">
        <f>'Invest. IF'!B368</f>
        <v>Curicó</v>
      </c>
      <c r="D368" s="7">
        <f>'Invest. IF'!C368</f>
        <v>332</v>
      </c>
      <c r="E368" s="32" t="str">
        <f>'Invest. IF'!D368</f>
        <v>San Ramón</v>
      </c>
      <c r="F368" s="32" t="str">
        <f>'Invest. IF'!E368</f>
        <v>4.10.4</v>
      </c>
      <c r="G368" s="32" t="str">
        <f>'Invest. IF'!F368</f>
        <v>Acciones asociadas a fumar</v>
      </c>
      <c r="H368" s="32" t="str">
        <f>'Invest. IF'!G368</f>
        <v>4.10</v>
      </c>
      <c r="I368" s="32" t="str">
        <f>'Invest. IF'!H368</f>
        <v>Otras causas</v>
      </c>
      <c r="J368" s="32" t="str">
        <f>'Invest. IF'!I368</f>
        <v>Negligentes</v>
      </c>
      <c r="K368" s="32" t="str">
        <f>'Invest. IF'!M368</f>
        <v>Junio</v>
      </c>
      <c r="L368" s="32" t="str">
        <f>'Invest. IF'!N368</f>
        <v>ITA_N-367_R20-SAN RAMÓN_NR-332</v>
      </c>
      <c r="M368" s="32" t="str">
        <f>'Invest. IF'!O368</f>
        <v>Curicó</v>
      </c>
      <c r="N368" s="32">
        <f>'Invest. IF'!J368</f>
        <v>296801</v>
      </c>
      <c r="O368" s="32">
        <f>'Invest. IF'!K368</f>
        <v>6124409</v>
      </c>
    </row>
    <row r="369" spans="1:15" x14ac:dyDescent="0.2">
      <c r="A369" s="36">
        <f>'Invest. IF'!A369</f>
        <v>368</v>
      </c>
      <c r="B369" s="21" t="e">
        <f>'Invest. IF'!#REF!</f>
        <v>#REF!</v>
      </c>
      <c r="C369" s="32" t="str">
        <f>'Invest. IF'!B369</f>
        <v>Curicó</v>
      </c>
      <c r="D369" s="7">
        <f>'Invest. IF'!C369</f>
        <v>240</v>
      </c>
      <c r="E369" s="32" t="str">
        <f>'Invest. IF'!D369</f>
        <v>El Prado</v>
      </c>
      <c r="F369" s="32" t="str">
        <f>'Invest. IF'!E369</f>
        <v>4.10.4</v>
      </c>
      <c r="G369" s="32" t="str">
        <f>'Invest. IF'!F369</f>
        <v>Acciones asociadas a fumar</v>
      </c>
      <c r="H369" s="32" t="str">
        <f>'Invest. IF'!G369</f>
        <v>4.10</v>
      </c>
      <c r="I369" s="32" t="str">
        <f>'Invest. IF'!H369</f>
        <v>Otras causas</v>
      </c>
      <c r="J369" s="32" t="str">
        <f>'Invest. IF'!I369</f>
        <v>Negligentes</v>
      </c>
      <c r="K369" s="32" t="str">
        <f>'Invest. IF'!M369</f>
        <v>Junio</v>
      </c>
      <c r="L369" s="32" t="str">
        <f>'Invest. IF'!N369</f>
        <v>ITA_N-368_R20-EL PRADO_NR-240</v>
      </c>
      <c r="M369" s="32" t="str">
        <f>'Invest. IF'!O369</f>
        <v>Curicó</v>
      </c>
      <c r="N369" s="32">
        <f>'Invest. IF'!J369</f>
        <v>301898</v>
      </c>
      <c r="O369" s="32">
        <f>'Invest. IF'!K369</f>
        <v>6126471</v>
      </c>
    </row>
    <row r="370" spans="1:15" x14ac:dyDescent="0.2">
      <c r="A370" s="36">
        <f>'Invest. IF'!A370</f>
        <v>369</v>
      </c>
      <c r="B370" s="21" t="e">
        <f>'Invest. IF'!#REF!</f>
        <v>#REF!</v>
      </c>
      <c r="C370" s="32" t="str">
        <f>'Invest. IF'!B370</f>
        <v>Talca</v>
      </c>
      <c r="D370" s="7">
        <f>'Invest. IF'!C370</f>
        <v>461</v>
      </c>
      <c r="E370" s="32" t="str">
        <f>'Invest. IF'!D370</f>
        <v xml:space="preserve">Villa Francia </v>
      </c>
      <c r="F370" s="32" t="str">
        <f>'Invest. IF'!E370</f>
        <v>4.8.1</v>
      </c>
      <c r="G370" s="32" t="str">
        <f>'Invest. IF'!F370</f>
        <v>Quema no avisada con fines de limpieza en canales, cunetas, cercos o caminos (en predios particulares o públicos) que se propaga libre y sin control</v>
      </c>
      <c r="H370" s="32" t="str">
        <f>'Invest. IF'!G370</f>
        <v>4.8</v>
      </c>
      <c r="I370" s="32" t="str">
        <f>'Invest. IF'!H370</f>
        <v>Otras quemas</v>
      </c>
      <c r="J370" s="32" t="str">
        <f>'Invest. IF'!I370</f>
        <v>Negligentes</v>
      </c>
      <c r="K370" s="32" t="str">
        <f>'Invest. IF'!M370</f>
        <v>Junio</v>
      </c>
      <c r="L370" s="32" t="str">
        <f>'Invest. IF'!N370</f>
        <v>ITA_N-369_R20-VILLA FRANCIA_NR-461</v>
      </c>
      <c r="M370" s="32" t="str">
        <f>'Invest. IF'!O370</f>
        <v>Talca</v>
      </c>
      <c r="N370" s="32">
        <f>'Invest. IF'!J370</f>
        <v>259279</v>
      </c>
      <c r="O370" s="32">
        <f>'Invest. IF'!K370</f>
        <v>6073467</v>
      </c>
    </row>
    <row r="371" spans="1:15" x14ac:dyDescent="0.2">
      <c r="A371" s="36">
        <f>'Invest. IF'!A371</f>
        <v>370</v>
      </c>
      <c r="B371" s="21" t="e">
        <f>'Invest. IF'!#REF!</f>
        <v>#REF!</v>
      </c>
      <c r="C371" s="32" t="str">
        <f>'Invest. IF'!B371</f>
        <v>Maule</v>
      </c>
      <c r="D371" s="7">
        <f>'Invest. IF'!C371</f>
        <v>185</v>
      </c>
      <c r="E371" s="32" t="str">
        <f>'Invest. IF'!D371</f>
        <v>Los Patos</v>
      </c>
      <c r="F371" s="32" t="str">
        <f>'Invest. IF'!E371</f>
        <v>4.8.2</v>
      </c>
      <c r="G371" s="32" t="str">
        <f>'Invest. IF'!F371</f>
        <v>Quema de basura residencial o desechos vegetales</v>
      </c>
      <c r="H371" s="32" t="str">
        <f>'Invest. IF'!G371</f>
        <v>4.8</v>
      </c>
      <c r="I371" s="32" t="str">
        <f>'Invest. IF'!H371</f>
        <v>Otras quemas</v>
      </c>
      <c r="J371" s="32" t="str">
        <f>'Invest. IF'!I371</f>
        <v>Negligentes</v>
      </c>
      <c r="K371" s="32" t="str">
        <f>'Invest. IF'!M371</f>
        <v>Junio</v>
      </c>
      <c r="L371" s="32" t="str">
        <f>'Invest. IF'!N371</f>
        <v>ITA_N-370_R20-LOS PATOS_NR-185</v>
      </c>
      <c r="M371" s="32" t="str">
        <f>'Invest. IF'!O371</f>
        <v>Talca</v>
      </c>
      <c r="N371" s="32">
        <f>'Invest. IF'!J371</f>
        <v>258714</v>
      </c>
      <c r="O371" s="32">
        <f>'Invest. IF'!K371</f>
        <v>6071766</v>
      </c>
    </row>
    <row r="372" spans="1:15" x14ac:dyDescent="0.2">
      <c r="A372" s="36">
        <f>'Invest. IF'!A372</f>
        <v>371</v>
      </c>
      <c r="B372" s="21" t="e">
        <f>'Invest. IF'!#REF!</f>
        <v>#REF!</v>
      </c>
      <c r="C372" s="32" t="str">
        <f>'Invest. IF'!B372</f>
        <v>Maule</v>
      </c>
      <c r="D372" s="7">
        <f>'Invest. IF'!C372</f>
        <v>337</v>
      </c>
      <c r="E372" s="32" t="str">
        <f>'Invest. IF'!D372</f>
        <v>Los Patos 3</v>
      </c>
      <c r="F372" s="32" t="str">
        <f>'Invest. IF'!E372</f>
        <v>4.8.2</v>
      </c>
      <c r="G372" s="32" t="str">
        <f>'Invest. IF'!F372</f>
        <v>Quema de basura residencial o desechos vegetales</v>
      </c>
      <c r="H372" s="32" t="str">
        <f>'Invest. IF'!G372</f>
        <v>4.8</v>
      </c>
      <c r="I372" s="32" t="str">
        <f>'Invest. IF'!H372</f>
        <v>Otras quemas</v>
      </c>
      <c r="J372" s="32" t="str">
        <f>'Invest. IF'!I372</f>
        <v>Negligentes</v>
      </c>
      <c r="K372" s="32" t="str">
        <f>'Invest. IF'!M372</f>
        <v>Junio</v>
      </c>
      <c r="L372" s="32" t="str">
        <f>'Invest. IF'!N372</f>
        <v>ITA_N-371_R20-LOS PATOS 3_NR-337</v>
      </c>
      <c r="M372" s="32" t="str">
        <f>'Invest. IF'!O372</f>
        <v>Talca</v>
      </c>
      <c r="N372" s="32">
        <f>'Invest. IF'!J372</f>
        <v>258930</v>
      </c>
      <c r="O372" s="32">
        <f>'Invest. IF'!K372</f>
        <v>6071982</v>
      </c>
    </row>
    <row r="373" spans="1:15" x14ac:dyDescent="0.2">
      <c r="A373" s="36">
        <f>'Invest. IF'!A373</f>
        <v>372</v>
      </c>
      <c r="B373" s="21" t="e">
        <f>'Invest. IF'!#REF!</f>
        <v>#REF!</v>
      </c>
      <c r="C373" s="32" t="str">
        <f>'Invest. IF'!B373</f>
        <v>Maule</v>
      </c>
      <c r="D373" s="7">
        <f>'Invest. IF'!C373</f>
        <v>130</v>
      </c>
      <c r="E373" s="32" t="str">
        <f>'Invest. IF'!D373</f>
        <v>Santa Rosa</v>
      </c>
      <c r="F373" s="32" t="str">
        <f>'Invest. IF'!E373</f>
        <v>4.6.2</v>
      </c>
      <c r="G373" s="32" t="str">
        <f>'Invest. IF'!F373</f>
        <v>Generado por conexión  irregular de energía eléctrica</v>
      </c>
      <c r="H373" s="32" t="str">
        <f>'Invest. IF'!G373</f>
        <v>4.6</v>
      </c>
      <c r="I373" s="32" t="str">
        <f>'Invest. IF'!H373</f>
        <v>Parcelaciones, edificaciones residenciales, industriales u otras en zonas rurales o de interfaz</v>
      </c>
      <c r="J373" s="32" t="str">
        <f>'Invest. IF'!I373</f>
        <v>Negligentes</v>
      </c>
      <c r="K373" s="32" t="str">
        <f>'Invest. IF'!M373</f>
        <v>Junio</v>
      </c>
      <c r="L373" s="32" t="str">
        <f>'Invest. IF'!N373</f>
        <v>ITA_N-372_R20-SANTA ROSA_NR-130</v>
      </c>
      <c r="M373" s="32" t="str">
        <f>'Invest. IF'!O373</f>
        <v>Talca</v>
      </c>
      <c r="N373" s="32">
        <f>'Invest. IF'!J373</f>
        <v>252005</v>
      </c>
      <c r="O373" s="32">
        <f>'Invest. IF'!K373</f>
        <v>6064659</v>
      </c>
    </row>
    <row r="374" spans="1:15" x14ac:dyDescent="0.2">
      <c r="A374" s="36">
        <f>'Invest. IF'!A374</f>
        <v>373</v>
      </c>
      <c r="B374" s="21" t="e">
        <f>'Invest. IF'!#REF!</f>
        <v>#REF!</v>
      </c>
      <c r="C374" s="32" t="str">
        <f>'Invest. IF'!B374</f>
        <v>Maule</v>
      </c>
      <c r="D374" s="7">
        <f>'Invest. IF'!C374</f>
        <v>274</v>
      </c>
      <c r="E374" s="32" t="str">
        <f>'Invest. IF'!D374</f>
        <v>Santa Rosa de Lavaderos</v>
      </c>
      <c r="F374" s="32" t="str">
        <f>'Invest. IF'!E374</f>
        <v>4.9.4</v>
      </c>
      <c r="G374" s="32" t="str">
        <f>'Invest. IF'!F374</f>
        <v>Sobrecalentamiento de estructuras asociados al sistema eléctrico (poste, transformador, uniones, aisladores, otros)</v>
      </c>
      <c r="H374" s="32" t="str">
        <f>'Invest. IF'!G374</f>
        <v>4.9</v>
      </c>
      <c r="I374" s="32" t="str">
        <f>'Invest. IF'!H374</f>
        <v>Líneas eléctricas</v>
      </c>
      <c r="J374" s="32" t="str">
        <f>'Invest. IF'!I374</f>
        <v>Negligentes</v>
      </c>
      <c r="K374" s="32" t="str">
        <f>'Invest. IF'!M374</f>
        <v>Junio</v>
      </c>
      <c r="L374" s="32" t="str">
        <f>'Invest. IF'!N374</f>
        <v>ITA_N-373_R20-SANTA ROSA DE LAVADEROS_NR-274</v>
      </c>
      <c r="M374" s="32" t="str">
        <f>'Invest. IF'!O374</f>
        <v>Talca</v>
      </c>
      <c r="N374" s="32">
        <f>'Invest. IF'!J374</f>
        <v>251691</v>
      </c>
      <c r="O374" s="32">
        <f>'Invest. IF'!K374</f>
        <v>6062613</v>
      </c>
    </row>
    <row r="375" spans="1:15" x14ac:dyDescent="0.2">
      <c r="A375" s="36">
        <f>'Invest. IF'!A375</f>
        <v>374</v>
      </c>
      <c r="B375" s="21" t="e">
        <f>'Invest. IF'!#REF!</f>
        <v>#REF!</v>
      </c>
      <c r="C375" s="32" t="str">
        <f>'Invest. IF'!B375</f>
        <v>Maule</v>
      </c>
      <c r="D375" s="7">
        <f>'Invest. IF'!C375</f>
        <v>285</v>
      </c>
      <c r="E375" s="32" t="str">
        <f>'Invest. IF'!D375</f>
        <v>Santa Rosa de Lavaderos 2</v>
      </c>
      <c r="F375" s="32" t="str">
        <f>'Invest. IF'!E375</f>
        <v>4.9.4</v>
      </c>
      <c r="G375" s="32" t="str">
        <f>'Invest. IF'!F375</f>
        <v>Sobrecalentamiento de estructuras asociados al sistema eléctrico (poste, transformador, uniones, aisladores, otros)</v>
      </c>
      <c r="H375" s="32" t="str">
        <f>'Invest. IF'!G375</f>
        <v>4.9</v>
      </c>
      <c r="I375" s="32" t="str">
        <f>'Invest. IF'!H375</f>
        <v>Líneas eléctricas</v>
      </c>
      <c r="J375" s="32" t="str">
        <f>'Invest. IF'!I375</f>
        <v>Negligentes</v>
      </c>
      <c r="K375" s="32" t="str">
        <f>'Invest. IF'!M375</f>
        <v>Junio</v>
      </c>
      <c r="L375" s="32" t="str">
        <f>'Invest. IF'!N375</f>
        <v>ITA_N-374_R20-SANTA ROSA DE LAVADEROS 2_NR-285</v>
      </c>
      <c r="M375" s="32" t="str">
        <f>'Invest. IF'!O375</f>
        <v>Talca</v>
      </c>
      <c r="N375" s="32">
        <f>'Invest. IF'!J375</f>
        <v>251091</v>
      </c>
      <c r="O375" s="32">
        <f>'Invest. IF'!K375</f>
        <v>6062550</v>
      </c>
    </row>
    <row r="376" spans="1:15" x14ac:dyDescent="0.2">
      <c r="A376" s="36">
        <f>'Invest. IF'!A376</f>
        <v>375</v>
      </c>
      <c r="B376" s="21" t="e">
        <f>'Invest. IF'!#REF!</f>
        <v>#REF!</v>
      </c>
      <c r="C376" s="32" t="str">
        <f>'Invest. IF'!B376</f>
        <v>Maule</v>
      </c>
      <c r="D376" s="7">
        <f>'Invest. IF'!C376</f>
        <v>138</v>
      </c>
      <c r="E376" s="32" t="str">
        <f>'Invest. IF'!D376</f>
        <v>Linares de Perales</v>
      </c>
      <c r="F376" s="32" t="str">
        <f>'Invest. IF'!E376</f>
        <v>4.1.1</v>
      </c>
      <c r="G376" s="32" t="str">
        <f>'Invest. IF'!F376</f>
        <v>Quema no avisada de desechos forestales que se propaga libre y sin control</v>
      </c>
      <c r="H376" s="32" t="str">
        <f>'Invest. IF'!G376</f>
        <v>4.1</v>
      </c>
      <c r="I376" s="32" t="str">
        <f>'Invest. IF'!H376</f>
        <v>Faenas forestales</v>
      </c>
      <c r="J376" s="32" t="str">
        <f>'Invest. IF'!I376</f>
        <v>Negligentes</v>
      </c>
      <c r="K376" s="32" t="str">
        <f>'Invest. IF'!M376</f>
        <v>Junio</v>
      </c>
      <c r="L376" s="32" t="str">
        <f>'Invest. IF'!N376</f>
        <v>ITA_N-375_R20-LINARES DE PERALES_NR-138</v>
      </c>
      <c r="M376" s="32" t="str">
        <f>'Invest. IF'!O376</f>
        <v>Talca</v>
      </c>
      <c r="N376" s="32">
        <f>'Invest. IF'!J376</f>
        <v>250139</v>
      </c>
      <c r="O376" s="32">
        <f>'Invest. IF'!K376</f>
        <v>6071900</v>
      </c>
    </row>
    <row r="377" spans="1:15" x14ac:dyDescent="0.2">
      <c r="A377" s="36">
        <f>'Invest. IF'!A377</f>
        <v>376</v>
      </c>
      <c r="B377" s="21" t="e">
        <f>'Invest. IF'!#REF!</f>
        <v>#REF!</v>
      </c>
      <c r="C377" s="32" t="str">
        <f>'Invest. IF'!B377</f>
        <v>Maule</v>
      </c>
      <c r="D377" s="7">
        <f>'Invest. IF'!C377</f>
        <v>526</v>
      </c>
      <c r="E377" s="32" t="str">
        <f>'Invest. IF'!D377</f>
        <v>Villa Cobin</v>
      </c>
      <c r="F377" s="32" t="str">
        <f>'Invest. IF'!E377</f>
        <v>2.1.1</v>
      </c>
      <c r="G377" s="32" t="str">
        <f>'Invest. IF'!F377</f>
        <v>Provocado, no se identifica la motivación</v>
      </c>
      <c r="H377" s="32" t="str">
        <f>'Invest. IF'!G377</f>
        <v>2.1</v>
      </c>
      <c r="I377" s="32" t="str">
        <f>'Invest. IF'!H377</f>
        <v>Incendios intencionales</v>
      </c>
      <c r="J377" s="32" t="str">
        <f>'Invest. IF'!I377</f>
        <v>Intencionales</v>
      </c>
      <c r="K377" s="32" t="str">
        <f>'Invest. IF'!M377</f>
        <v>Junio</v>
      </c>
      <c r="L377" s="32" t="str">
        <f>'Invest. IF'!N377</f>
        <v>ITA_N-376_R20-VILLA COBIN_NR-526</v>
      </c>
      <c r="M377" s="32" t="str">
        <f>'Invest. IF'!O377</f>
        <v>Talca</v>
      </c>
      <c r="N377" s="32">
        <f>'Invest. IF'!J377</f>
        <v>248261</v>
      </c>
      <c r="O377" s="32">
        <f>'Invest. IF'!K377</f>
        <v>6070706</v>
      </c>
    </row>
    <row r="378" spans="1:15" x14ac:dyDescent="0.2">
      <c r="A378" s="36">
        <f>'Invest. IF'!A378</f>
        <v>377</v>
      </c>
      <c r="B378" s="21" t="e">
        <f>'Invest. IF'!#REF!</f>
        <v>#REF!</v>
      </c>
      <c r="C378" s="32" t="str">
        <f>'Invest. IF'!B378</f>
        <v>Curicó</v>
      </c>
      <c r="D378" s="7">
        <f>'Invest. IF'!C378</f>
        <v>170</v>
      </c>
      <c r="E378" s="32" t="str">
        <f>'Invest. IF'!D378</f>
        <v>El Sandino</v>
      </c>
      <c r="F378" s="32" t="str">
        <f>'Invest. IF'!E378</f>
        <v>4.2.8</v>
      </c>
      <c r="G378" s="32" t="str">
        <f>'Invest. IF'!F378</f>
        <v>Otras causas negligentes no clasificadas en faenas agrícolas y pecuarias</v>
      </c>
      <c r="H378" s="32" t="str">
        <f>'Invest. IF'!G378</f>
        <v>4.2</v>
      </c>
      <c r="I378" s="32" t="str">
        <f>'Invest. IF'!H378</f>
        <v>Faenas agrícolas y pecuarias</v>
      </c>
      <c r="J378" s="32" t="str">
        <f>'Invest. IF'!I378</f>
        <v>Negligentes</v>
      </c>
      <c r="K378" s="32" t="str">
        <f>'Invest. IF'!M378</f>
        <v>Junio</v>
      </c>
      <c r="L378" s="32" t="str">
        <f>'Invest. IF'!N378</f>
        <v>ITA_N-377_R20-EL SANDINO_NR-170</v>
      </c>
      <c r="M378" s="32" t="str">
        <f>'Invest. IF'!O378</f>
        <v>Curicó</v>
      </c>
      <c r="N378" s="32">
        <f>'Invest. IF'!J378</f>
        <v>302455</v>
      </c>
      <c r="O378" s="32">
        <f>'Invest. IF'!K378</f>
        <v>6120580</v>
      </c>
    </row>
    <row r="379" spans="1:15" x14ac:dyDescent="0.2">
      <c r="A379" s="36">
        <f>'Invest. IF'!A379</f>
        <v>378</v>
      </c>
      <c r="B379" s="21" t="e">
        <f>'Invest. IF'!#REF!</f>
        <v>#REF!</v>
      </c>
      <c r="C379" s="32" t="str">
        <f>'Invest. IF'!B379</f>
        <v>Curicó</v>
      </c>
      <c r="D379" s="7">
        <f>'Invest. IF'!C379</f>
        <v>221</v>
      </c>
      <c r="E379" s="32" t="str">
        <f>'Invest. IF'!D379</f>
        <v>Los Cristales</v>
      </c>
      <c r="F379" s="32" t="str">
        <f>'Invest. IF'!E379</f>
        <v>4.10.12</v>
      </c>
      <c r="G379" s="32" t="str">
        <f>'Invest. IF'!F379</f>
        <v>Otras actividades negligentes no clasificadas</v>
      </c>
      <c r="H379" s="32" t="str">
        <f>'Invest. IF'!G379</f>
        <v>4.10</v>
      </c>
      <c r="I379" s="32" t="str">
        <f>'Invest. IF'!H379</f>
        <v>Otras causas</v>
      </c>
      <c r="J379" s="32" t="str">
        <f>'Invest. IF'!I379</f>
        <v>Negligentes</v>
      </c>
      <c r="K379" s="32" t="str">
        <f>'Invest. IF'!M379</f>
        <v>Junio</v>
      </c>
      <c r="L379" s="32" t="str">
        <f>'Invest. IF'!N379</f>
        <v>ITA_N-378_R20-LOS CRISTALES_NR-221</v>
      </c>
      <c r="M379" s="32" t="str">
        <f>'Invest. IF'!O379</f>
        <v>Curicó</v>
      </c>
      <c r="N379" s="32">
        <f>'Invest. IF'!J379</f>
        <v>301559</v>
      </c>
      <c r="O379" s="32">
        <f>'Invest. IF'!K379</f>
        <v>6127784</v>
      </c>
    </row>
    <row r="380" spans="1:15" x14ac:dyDescent="0.2">
      <c r="A380" s="36">
        <f>'Invest. IF'!A380</f>
        <v>379</v>
      </c>
      <c r="B380" s="21" t="e">
        <f>'Invest. IF'!#REF!</f>
        <v>#REF!</v>
      </c>
      <c r="C380" s="32" t="str">
        <f>'Invest. IF'!B380</f>
        <v>Molina</v>
      </c>
      <c r="D380" s="7">
        <f>'Invest. IF'!C380</f>
        <v>373</v>
      </c>
      <c r="E380" s="32" t="str">
        <f>'Invest. IF'!D380</f>
        <v>Santa Blanca</v>
      </c>
      <c r="F380" s="32" t="str">
        <f>'Invest. IF'!E380</f>
        <v>4.2.4</v>
      </c>
      <c r="G380" s="32" t="str">
        <f>'Invest. IF'!F380</f>
        <v>Partícula incandescente generada sin roce por vehículo, maquinaria o herramienta agrícola</v>
      </c>
      <c r="H380" s="32" t="str">
        <f>'Invest. IF'!G380</f>
        <v>4.2</v>
      </c>
      <c r="I380" s="32" t="str">
        <f>'Invest. IF'!H380</f>
        <v>Faenas agrícolas y pecuarias</v>
      </c>
      <c r="J380" s="32" t="str">
        <f>'Invest. IF'!I380</f>
        <v>Negligentes</v>
      </c>
      <c r="K380" s="32" t="str">
        <f>'Invest. IF'!M380</f>
        <v>Junio</v>
      </c>
      <c r="L380" s="32" t="str">
        <f>'Invest. IF'!N380</f>
        <v>ITA_N-379_R20-SANTA BLANCA_NR-221</v>
      </c>
      <c r="M380" s="32" t="str">
        <f>'Invest. IF'!O380</f>
        <v>Curicó</v>
      </c>
      <c r="N380" s="32">
        <f>'Invest. IF'!J380</f>
        <v>293940</v>
      </c>
      <c r="O380" s="32">
        <f>'Invest. IF'!K380</f>
        <v>6119011</v>
      </c>
    </row>
    <row r="381" spans="1:15" x14ac:dyDescent="0.2">
      <c r="A381" s="36">
        <f>'Invest. IF'!A381</f>
        <v>380</v>
      </c>
      <c r="B381" s="21" t="e">
        <f>'Invest. IF'!#REF!</f>
        <v>#REF!</v>
      </c>
      <c r="C381" s="32" t="str">
        <f>'Invest. IF'!B381</f>
        <v>Chanco</v>
      </c>
      <c r="D381" s="7">
        <f>'Invest. IF'!C381</f>
        <v>675</v>
      </c>
      <c r="E381" s="32" t="str">
        <f>'Invest. IF'!D381</f>
        <v>Villa Acrópolis</v>
      </c>
      <c r="F381" s="32" t="str">
        <f>'Invest. IF'!E381</f>
        <v>4.2.6</v>
      </c>
      <c r="G381" s="32" t="str">
        <f>'Invest. IF'!F381</f>
        <v>Quema avisada de desechos agrícolas  mal ejecutada que se propaga libre y sin control (según plan de quema y/o aviso de quemas)</v>
      </c>
      <c r="H381" s="32" t="str">
        <f>'Invest. IF'!G381</f>
        <v>4.2</v>
      </c>
      <c r="I381" s="32" t="str">
        <f>'Invest. IF'!H381</f>
        <v>Faenas agrícolas y pecuarias</v>
      </c>
      <c r="J381" s="32" t="str">
        <f>'Invest. IF'!I381</f>
        <v>Negligentes</v>
      </c>
      <c r="K381" s="32" t="str">
        <f>'Invest. IF'!M381</f>
        <v>Junio</v>
      </c>
      <c r="L381" s="32" t="str">
        <f>'Invest. IF'!N381</f>
        <v>ITA_N-380_R20-VILLA ACROPOLIS_NR-675</v>
      </c>
      <c r="M381" s="32" t="str">
        <f>'Invest. IF'!O381</f>
        <v>Cauquenes</v>
      </c>
      <c r="N381" s="32">
        <f>'Invest. IF'!J381</f>
        <v>727076</v>
      </c>
      <c r="O381" s="32">
        <f>'Invest. IF'!K381</f>
        <v>6059939</v>
      </c>
    </row>
    <row r="382" spans="1:15" x14ac:dyDescent="0.2">
      <c r="A382" s="36">
        <f>'Invest. IF'!A382</f>
        <v>381</v>
      </c>
      <c r="B382" s="21" t="e">
        <f>'Invest. IF'!#REF!</f>
        <v>#REF!</v>
      </c>
      <c r="C382" s="32" t="str">
        <f>'Invest. IF'!B382</f>
        <v>Chanco</v>
      </c>
      <c r="D382" s="7">
        <f>'Invest. IF'!C382</f>
        <v>514</v>
      </c>
      <c r="E382" s="32" t="str">
        <f>'Invest. IF'!D382</f>
        <v>La Vega</v>
      </c>
      <c r="F382" s="32" t="str">
        <f>'Invest. IF'!E382</f>
        <v>4.8.2</v>
      </c>
      <c r="G382" s="32" t="str">
        <f>'Invest. IF'!F382</f>
        <v>Quema de basura residencial o desechos vegetales</v>
      </c>
      <c r="H382" s="32" t="str">
        <f>'Invest. IF'!G382</f>
        <v>4.8</v>
      </c>
      <c r="I382" s="32" t="str">
        <f>'Invest. IF'!H382</f>
        <v>Otras quemas</v>
      </c>
      <c r="J382" s="32" t="str">
        <f>'Invest. IF'!I382</f>
        <v>Negligentes</v>
      </c>
      <c r="K382" s="32" t="str">
        <f>'Invest. IF'!M382</f>
        <v>Junio</v>
      </c>
      <c r="L382" s="32" t="str">
        <f>'Invest. IF'!N382</f>
        <v>ITA_N-381_R20-LA VEGA_NR-514</v>
      </c>
      <c r="M382" s="32" t="str">
        <f>'Invest. IF'!O382</f>
        <v>Cauquenes</v>
      </c>
      <c r="N382" s="32">
        <f>'Invest. IF'!J382</f>
        <v>723328</v>
      </c>
      <c r="O382" s="32">
        <f>'Invest. IF'!K382</f>
        <v>6042850</v>
      </c>
    </row>
    <row r="383" spans="1:15" x14ac:dyDescent="0.2">
      <c r="A383" s="36">
        <f>'Invest. IF'!A383</f>
        <v>382</v>
      </c>
      <c r="B383" s="21" t="e">
        <f>'Invest. IF'!#REF!</f>
        <v>#REF!</v>
      </c>
      <c r="C383" s="32" t="str">
        <f>'Invest. IF'!B383</f>
        <v>Curicó</v>
      </c>
      <c r="D383" s="7">
        <f>'Invest. IF'!C383</f>
        <v>73</v>
      </c>
      <c r="E383" s="32" t="str">
        <f>'Invest. IF'!D383</f>
        <v xml:space="preserve">Callejón El Maitenal </v>
      </c>
      <c r="F383" s="32" t="str">
        <f>'Invest. IF'!E383</f>
        <v>4.2.1</v>
      </c>
      <c r="G383" s="32" t="str">
        <f>'Invest. IF'!F383</f>
        <v>Quema no avisada de desechos agrícolas que se propaga libre y sin control</v>
      </c>
      <c r="H383" s="32" t="str">
        <f>'Invest. IF'!G383</f>
        <v>4.2</v>
      </c>
      <c r="I383" s="32" t="str">
        <f>'Invest. IF'!H383</f>
        <v>Faenas agrícolas y pecuarias</v>
      </c>
      <c r="J383" s="32" t="str">
        <f>'Invest. IF'!I383</f>
        <v>Negligentes</v>
      </c>
      <c r="K383" s="32" t="str">
        <f>'Invest. IF'!M383</f>
        <v>Junio</v>
      </c>
      <c r="L383" s="32" t="str">
        <f>'Invest. IF'!N383</f>
        <v>ITA_N-382_R20-CALLEJON EL MAITENAL_NR-73</v>
      </c>
      <c r="M383" s="32" t="str">
        <f>'Invest. IF'!O383</f>
        <v>Curicó</v>
      </c>
      <c r="N383" s="32">
        <f>'Invest. IF'!J383</f>
        <v>290593</v>
      </c>
      <c r="O383" s="32">
        <f>'Invest. IF'!K383</f>
        <v>6130150</v>
      </c>
    </row>
    <row r="384" spans="1:15" x14ac:dyDescent="0.2">
      <c r="A384" s="36">
        <f>'Invest. IF'!A384</f>
        <v>383</v>
      </c>
      <c r="B384" s="21" t="e">
        <f>'Invest. IF'!#REF!</f>
        <v>#REF!</v>
      </c>
      <c r="C384" s="32" t="str">
        <f>'Invest. IF'!B384</f>
        <v>Rauco</v>
      </c>
      <c r="D384" s="7">
        <f>'Invest. IF'!C384</f>
        <v>162</v>
      </c>
      <c r="E384" s="32" t="str">
        <f>'Invest. IF'!D384</f>
        <v>Tricao</v>
      </c>
      <c r="F384" s="32" t="str">
        <f>'Invest. IF'!E384</f>
        <v>4.10.4</v>
      </c>
      <c r="G384" s="32" t="str">
        <f>'Invest. IF'!F384</f>
        <v>Acciones asociadas a fumar</v>
      </c>
      <c r="H384" s="32" t="str">
        <f>'Invest. IF'!G384</f>
        <v>4.10</v>
      </c>
      <c r="I384" s="32" t="str">
        <f>'Invest. IF'!H384</f>
        <v>Otras causas</v>
      </c>
      <c r="J384" s="32" t="str">
        <f>'Invest. IF'!I384</f>
        <v>Negligentes</v>
      </c>
      <c r="K384" s="32" t="str">
        <f>'Invest. IF'!M384</f>
        <v>Junio</v>
      </c>
      <c r="L384" s="32" t="str">
        <f>'Invest. IF'!N384</f>
        <v>ITA_N-383_R20-TRICAO_NR-162</v>
      </c>
      <c r="M384" s="32" t="str">
        <f>'Invest. IF'!O384</f>
        <v>Curicó</v>
      </c>
      <c r="N384" s="32">
        <f>'Invest. IF'!J384</f>
        <v>282504</v>
      </c>
      <c r="O384" s="32">
        <f>'Invest. IF'!K384</f>
        <v>6127230</v>
      </c>
    </row>
    <row r="385" spans="1:15" x14ac:dyDescent="0.2">
      <c r="A385" s="36">
        <f>'Invest. IF'!A385</f>
        <v>384</v>
      </c>
      <c r="B385" s="21" t="e">
        <f>'Invest. IF'!#REF!</f>
        <v>#REF!</v>
      </c>
      <c r="C385" s="32" t="str">
        <f>'Invest. IF'!B385</f>
        <v>Río Claro</v>
      </c>
      <c r="D385" s="7">
        <f>'Invest. IF'!C385</f>
        <v>262</v>
      </c>
      <c r="E385" s="32" t="str">
        <f>'Invest. IF'!D385</f>
        <v>Itahue 2</v>
      </c>
      <c r="F385" s="32" t="str">
        <f>'Invest. IF'!E385</f>
        <v>2.1.1</v>
      </c>
      <c r="G385" s="32" t="str">
        <f>'Invest. IF'!F385</f>
        <v>Provocado, no se identifica la motivación</v>
      </c>
      <c r="H385" s="32" t="str">
        <f>'Invest. IF'!G385</f>
        <v>2.1</v>
      </c>
      <c r="I385" s="32" t="str">
        <f>'Invest. IF'!H385</f>
        <v>Incendios intencionales</v>
      </c>
      <c r="J385" s="32" t="str">
        <f>'Invest. IF'!I385</f>
        <v>Intencionales</v>
      </c>
      <c r="K385" s="32" t="str">
        <f>'Invest. IF'!M385</f>
        <v>Junio</v>
      </c>
      <c r="L385" s="32" t="str">
        <f>'Invest. IF'!N385</f>
        <v>ITA_N-384_R20-ITAHUE 2_NR-262</v>
      </c>
      <c r="M385" s="32" t="str">
        <f>'Invest. IF'!O385</f>
        <v>Talca</v>
      </c>
      <c r="N385" s="32">
        <f>'Invest. IF'!J385</f>
        <v>284599</v>
      </c>
      <c r="O385" s="32">
        <f>'Invest. IF'!K385</f>
        <v>6107922</v>
      </c>
    </row>
    <row r="386" spans="1:15" x14ac:dyDescent="0.2">
      <c r="A386" s="36">
        <f>'Invest. IF'!A386</f>
        <v>385</v>
      </c>
      <c r="B386" s="21" t="e">
        <f>'Invest. IF'!#REF!</f>
        <v>#REF!</v>
      </c>
      <c r="C386" s="32" t="str">
        <f>'Invest. IF'!B386</f>
        <v>Río Claro</v>
      </c>
      <c r="D386" s="7">
        <f>'Invest. IF'!C386</f>
        <v>315</v>
      </c>
      <c r="E386" s="32" t="str">
        <f>'Invest. IF'!D386</f>
        <v>Itahue 3</v>
      </c>
      <c r="F386" s="32" t="str">
        <f>'Invest. IF'!E386</f>
        <v>4.8.1</v>
      </c>
      <c r="G386" s="32" t="str">
        <f>'Invest. IF'!F386</f>
        <v>Quema no avisada con fines de limpieza en canales, cunetas, cercos o caminos (en predios particulares o públicos) que se propaga libre y sin control</v>
      </c>
      <c r="H386" s="32" t="str">
        <f>'Invest. IF'!G386</f>
        <v>4.8</v>
      </c>
      <c r="I386" s="32" t="str">
        <f>'Invest. IF'!H386</f>
        <v>Otras quemas</v>
      </c>
      <c r="J386" s="32" t="str">
        <f>'Invest. IF'!I386</f>
        <v>Negligentes</v>
      </c>
      <c r="K386" s="32" t="str">
        <f>'Invest. IF'!M386</f>
        <v>Junio</v>
      </c>
      <c r="L386" s="32" t="str">
        <f>'Invest. IF'!N386</f>
        <v>ITA_N-385_R20-ITAHUE 3_NR-315</v>
      </c>
      <c r="M386" s="32" t="str">
        <f>'Invest. IF'!O386</f>
        <v>Talca</v>
      </c>
      <c r="N386" s="32">
        <f>'Invest. IF'!J386</f>
        <v>285083</v>
      </c>
      <c r="O386" s="32">
        <f>'Invest. IF'!K386</f>
        <v>6107393</v>
      </c>
    </row>
  </sheetData>
  <pageMargins left="0.7" right="0.7" top="0.75" bottom="0.75" header="0.3" footer="0.3"/>
  <pageSetup paperSize="1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Invest. IF</vt:lpstr>
      <vt:lpstr>Causas</vt:lpstr>
      <vt:lpstr>DATOS4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Baeza Novoa</dc:creator>
  <cp:lastModifiedBy>Conaf</cp:lastModifiedBy>
  <cp:lastPrinted>2024-06-18T21:48:25Z</cp:lastPrinted>
  <dcterms:created xsi:type="dcterms:W3CDTF">2023-10-23T15:53:11Z</dcterms:created>
  <dcterms:modified xsi:type="dcterms:W3CDTF">2026-06-30T15:55:15Z</dcterms:modified>
</cp:coreProperties>
</file>